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LineItems" sheetId="3" state="visible" r:id="rId3"/>
    <sheet xmlns:r="http://schemas.openxmlformats.org/officeDocument/2006/relationships" name="Q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supplier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'Dashboard'!$A$8:$A$10</f>
            </numRef>
          </cat>
          <val>
            <numRef>
              <f>'Dashboard'!$B$8:$B$10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'Dashboard'!$A$13:$A$18</f>
            </numRef>
          </cat>
          <val>
            <numRef>
              <f>'Dashboard'!$B$13:$B$18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Supplier spend dashboard (sample data)</t>
        </is>
      </c>
    </row>
    <row r="3">
      <c r="A3" t="inlineStr">
        <is>
          <t>Invoices processed</t>
        </is>
      </c>
      <c r="B3">
        <f>COUNTA(Invoices!C2:C24)</f>
        <v/>
      </c>
    </row>
    <row r="4">
      <c r="A4" t="inlineStr">
        <is>
          <t>Total spend</t>
        </is>
      </c>
      <c r="B4" s="2">
        <f>SUM(Invoices!I2:I24)</f>
        <v/>
      </c>
    </row>
    <row r="5">
      <c r="A5" t="inlineStr">
        <is>
          <t>Items needing a decision</t>
        </is>
      </c>
      <c r="B5">
        <f>COUNTA(QA!A2:A4)</f>
        <v/>
      </c>
    </row>
    <row r="7">
      <c r="A7" s="3" t="inlineStr">
        <is>
          <t>Supplier</t>
        </is>
      </c>
      <c r="B7" s="3" t="inlineStr">
        <is>
          <t>Spend</t>
        </is>
      </c>
    </row>
    <row r="8">
      <c r="A8" t="inlineStr">
        <is>
          <t>Bluebay Office &amp; Print Ltd</t>
        </is>
      </c>
      <c r="B8" s="4">
        <f>SUMIFS(Invoices!$I$2:$I$24,Invoices!$B$2:$B$24,A8)</f>
        <v/>
      </c>
    </row>
    <row r="9">
      <c r="A9" t="inlineStr">
        <is>
          <t>Cedar Lab Diagnostics</t>
        </is>
      </c>
      <c r="B9" s="4">
        <f>SUMIFS(Invoices!$I$2:$I$24,Invoices!$B$2:$B$24,A9)</f>
        <v/>
      </c>
    </row>
    <row r="10">
      <c r="A10" t="inlineStr">
        <is>
          <t>Northwind Medical Supply</t>
        </is>
      </c>
      <c r="B10" s="4">
        <f>SUMIFS(Invoices!$I$2:$I$24,Invoices!$B$2:$B$24,A10)</f>
        <v/>
      </c>
    </row>
    <row r="12">
      <c r="A12" s="3" t="inlineStr">
        <is>
          <t>Month</t>
        </is>
      </c>
      <c r="B12" s="3" t="inlineStr">
        <is>
          <t>Spend</t>
        </is>
      </c>
    </row>
    <row r="13">
      <c r="A13" t="inlineStr">
        <is>
          <t>2026-03</t>
        </is>
      </c>
      <c r="B13" s="4">
        <f>SUMIFS(Invoices!$I$2:$I$24,Invoices!$E$2:$E$24,A13)</f>
        <v/>
      </c>
    </row>
    <row r="14">
      <c r="A14" t="inlineStr">
        <is>
          <t>2026-04</t>
        </is>
      </c>
      <c r="B14" s="4">
        <f>SUMIFS(Invoices!$I$2:$I$24,Invoices!$E$2:$E$24,A14)</f>
        <v/>
      </c>
    </row>
    <row r="15">
      <c r="A15" t="inlineStr">
        <is>
          <t>2026-05</t>
        </is>
      </c>
      <c r="B15" s="4">
        <f>SUMIFS(Invoices!$I$2:$I$24,Invoices!$E$2:$E$24,A15)</f>
        <v/>
      </c>
    </row>
    <row r="16">
      <c r="A16" t="inlineStr">
        <is>
          <t>2026-06</t>
        </is>
      </c>
      <c r="B16" s="4">
        <f>SUMIFS(Invoices!$I$2:$I$24,Invoices!$E$2:$E$24,A16)</f>
        <v/>
      </c>
    </row>
    <row r="17">
      <c r="A17" t="inlineStr">
        <is>
          <t>2026-07</t>
        </is>
      </c>
      <c r="B17" s="4">
        <f>SUMIFS(Invoices!$I$2:$I$24,Invoices!$E$2:$E$24,A17)</f>
        <v/>
      </c>
    </row>
    <row r="18">
      <c r="A18" t="inlineStr">
        <is>
          <t>2026-08</t>
        </is>
      </c>
      <c r="B18" s="4">
        <f>SUMIFS(Invoices!$I$2:$I$24,Invoices!$E$2:$E$24,A18)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  <col width="42" customWidth="1" min="11" max="11"/>
  </cols>
  <sheetData>
    <row r="1">
      <c r="A1" s="5" t="inlineStr">
        <is>
          <t>File</t>
        </is>
      </c>
      <c r="B1" s="5" t="inlineStr">
        <is>
          <t>Supplier</t>
        </is>
      </c>
      <c r="C1" s="5" t="inlineStr">
        <is>
          <t>Invoice No</t>
        </is>
      </c>
      <c r="D1" s="5" t="inlineStr">
        <is>
          <t>Date</t>
        </is>
      </c>
      <c r="E1" s="5" t="inlineStr">
        <is>
          <t>Month</t>
        </is>
      </c>
      <c r="F1" s="5" t="inlineStr">
        <is>
          <t>PO Number</t>
        </is>
      </c>
      <c r="G1" s="5" t="inlineStr">
        <is>
          <t>Subtotal</t>
        </is>
      </c>
      <c r="H1" s="5" t="inlineStr">
        <is>
          <t>Tax</t>
        </is>
      </c>
      <c r="I1" s="5" t="inlineStr">
        <is>
          <t>Total</t>
        </is>
      </c>
      <c r="J1" s="5" t="inlineStr">
        <is>
          <t>Lines + 8% tax</t>
        </is>
      </c>
      <c r="K1" s="5" t="inlineStr">
        <is>
          <t>Check</t>
        </is>
      </c>
    </row>
    <row r="2">
      <c r="A2" t="inlineStr">
        <is>
          <t>BB-2602.pdf</t>
        </is>
      </c>
      <c r="B2" t="inlineStr">
        <is>
          <t>Bluebay Office &amp; Print Ltd</t>
        </is>
      </c>
      <c r="C2" t="inlineStr">
        <is>
          <t>BB-2602</t>
        </is>
      </c>
      <c r="D2" s="6" t="n">
        <v>46202</v>
      </c>
      <c r="E2">
        <f>TEXT(D2,"yyyy-mm")</f>
        <v/>
      </c>
      <c r="F2" t="inlineStr">
        <is>
          <t>PO-4101</t>
        </is>
      </c>
      <c r="G2" s="2" t="n">
        <v>2668</v>
      </c>
      <c r="H2" s="2" t="n">
        <v>213.44</v>
      </c>
      <c r="I2" s="2" t="n">
        <v>2881.44</v>
      </c>
      <c r="J2" s="2" t="n">
        <v>2881.44</v>
      </c>
      <c r="K2">
        <f>IF(ABS(I2-J2)&gt;0.01,"TOTAL MISMATCH","ok")</f>
        <v/>
      </c>
    </row>
    <row r="3">
      <c r="A3" t="inlineStr">
        <is>
          <t>BB-2605.pdf</t>
        </is>
      </c>
      <c r="B3" t="inlineStr">
        <is>
          <t>Bluebay Office &amp; Print Ltd</t>
        </is>
      </c>
      <c r="C3" t="inlineStr">
        <is>
          <t>BB-2605</t>
        </is>
      </c>
      <c r="D3" s="6" t="n">
        <v>46205</v>
      </c>
      <c r="E3">
        <f>TEXT(D3,"yyyy-mm")</f>
        <v/>
      </c>
      <c r="F3" t="inlineStr">
        <is>
          <t>PO-4104</t>
        </is>
      </c>
      <c r="G3" s="2" t="n">
        <v>3000</v>
      </c>
      <c r="H3" s="2" t="n">
        <v>240</v>
      </c>
      <c r="I3" s="2" t="n">
        <v>3240</v>
      </c>
      <c r="J3" s="2" t="n">
        <v>3240</v>
      </c>
      <c r="K3">
        <f>IF(ABS(I3-J3)&gt;0.01,"TOTAL MISMATCH","ok")</f>
        <v/>
      </c>
    </row>
    <row r="4">
      <c r="A4" t="inlineStr">
        <is>
          <t>BB-2610.pdf</t>
        </is>
      </c>
      <c r="B4" t="inlineStr">
        <is>
          <t>Bluebay Office &amp; Print Ltd</t>
        </is>
      </c>
      <c r="C4" t="inlineStr">
        <is>
          <t>BB-2610</t>
        </is>
      </c>
      <c r="D4" s="6" t="n">
        <v>46184</v>
      </c>
      <c r="E4">
        <f>TEXT(D4,"yyyy-mm")</f>
        <v/>
      </c>
      <c r="F4" t="inlineStr">
        <is>
          <t>PO-4109</t>
        </is>
      </c>
      <c r="G4" s="2" t="n">
        <v>509.5</v>
      </c>
      <c r="H4" s="2" t="n">
        <v>40.76</v>
      </c>
      <c r="I4" s="2" t="n">
        <v>550.26</v>
      </c>
      <c r="J4" s="2" t="n">
        <v>550.26</v>
      </c>
      <c r="K4">
        <f>IF(ABS(I4-J4)&gt;0.01,"TOTAL MISMATCH","ok")</f>
        <v/>
      </c>
    </row>
    <row r="5">
      <c r="A5" t="inlineStr">
        <is>
          <t>BB-2615.pdf</t>
        </is>
      </c>
      <c r="B5" t="inlineStr">
        <is>
          <t>Bluebay Office &amp; Print Ltd</t>
        </is>
      </c>
      <c r="C5" t="inlineStr">
        <is>
          <t>BB-2615</t>
        </is>
      </c>
      <c r="D5" s="6" t="n">
        <v>46216</v>
      </c>
      <c r="E5">
        <f>TEXT(D5,"yyyy-mm")</f>
        <v/>
      </c>
      <c r="F5" t="inlineStr">
        <is>
          <t>PO-4114</t>
        </is>
      </c>
      <c r="G5" s="2" t="n">
        <v>2047.75</v>
      </c>
      <c r="H5" s="2" t="n">
        <v>163.82</v>
      </c>
      <c r="I5" s="2" t="n">
        <v>2211.57</v>
      </c>
      <c r="J5" s="2" t="n">
        <v>2211.57</v>
      </c>
      <c r="K5">
        <f>IF(ABS(I5-J5)&gt;0.01,"TOTAL MISMATCH","ok")</f>
        <v/>
      </c>
    </row>
    <row r="6">
      <c r="A6" t="inlineStr">
        <is>
          <t>BB-2620.pdf</t>
        </is>
      </c>
      <c r="B6" t="inlineStr">
        <is>
          <t>Bluebay Office &amp; Print Ltd</t>
        </is>
      </c>
      <c r="C6" t="inlineStr">
        <is>
          <t>BB-2620</t>
        </is>
      </c>
      <c r="D6" s="6" t="n">
        <v>46150</v>
      </c>
      <c r="E6">
        <f>TEXT(D6,"yyyy-mm")</f>
        <v/>
      </c>
      <c r="F6" t="inlineStr">
        <is>
          <t>PO-4119</t>
        </is>
      </c>
      <c r="G6" s="2" t="n">
        <v>486.9</v>
      </c>
      <c r="H6" s="2" t="n">
        <v>38.95</v>
      </c>
      <c r="I6" s="2" t="n">
        <v>525.85</v>
      </c>
      <c r="J6" s="2" t="n">
        <v>525.85</v>
      </c>
      <c r="K6">
        <f>IF(ABS(I6-J6)&gt;0.01,"TOTAL MISMATCH","ok")</f>
        <v/>
      </c>
    </row>
    <row r="7">
      <c r="A7" t="inlineStr">
        <is>
          <t>BB-2621.pdf</t>
        </is>
      </c>
      <c r="B7" t="inlineStr">
        <is>
          <t>Bluebay Office &amp; Print Ltd</t>
        </is>
      </c>
      <c r="C7" t="inlineStr">
        <is>
          <t>BB-2621</t>
        </is>
      </c>
      <c r="D7" s="6" t="n">
        <v>46244</v>
      </c>
      <c r="E7">
        <f>TEXT(D7,"yyyy-mm")</f>
        <v/>
      </c>
      <c r="F7" t="inlineStr">
        <is>
          <t>PO-4120</t>
        </is>
      </c>
      <c r="G7" s="2" t="n">
        <v>2551.25</v>
      </c>
      <c r="H7" s="2" t="n">
        <v>204.1</v>
      </c>
      <c r="I7" s="2" t="n">
        <v>2755.35</v>
      </c>
      <c r="J7" s="2" t="n">
        <v>2755.35</v>
      </c>
      <c r="K7">
        <f>IF(ABS(I7-J7)&gt;0.01,"TOTAL MISMATCH","ok")</f>
        <v/>
      </c>
    </row>
    <row r="8">
      <c r="A8" t="inlineStr">
        <is>
          <t>BB-2622.pdf</t>
        </is>
      </c>
      <c r="B8" t="inlineStr">
        <is>
          <t>Bluebay Office &amp; Print Ltd</t>
        </is>
      </c>
      <c r="C8" t="inlineStr">
        <is>
          <t>BB-2622</t>
        </is>
      </c>
      <c r="D8" s="6" t="n">
        <v>46174</v>
      </c>
      <c r="E8">
        <f>TEXT(D8,"yyyy-mm")</f>
        <v/>
      </c>
      <c r="F8" t="inlineStr">
        <is>
          <t>PO-4121</t>
        </is>
      </c>
      <c r="G8" s="2" t="n">
        <v>760.5</v>
      </c>
      <c r="H8" s="2" t="n">
        <v>60.84</v>
      </c>
      <c r="I8" s="2" t="n">
        <v>821.34</v>
      </c>
      <c r="J8" s="2" t="n">
        <v>821.34</v>
      </c>
      <c r="K8">
        <f>IF(ABS(I8-J8)&gt;0.01,"TOTAL MISMATCH","ok")</f>
        <v/>
      </c>
    </row>
    <row r="9">
      <c r="A9" t="inlineStr">
        <is>
          <t>CL-2601.pdf</t>
        </is>
      </c>
      <c r="B9" t="inlineStr">
        <is>
          <t>Cedar Lab Diagnostics</t>
        </is>
      </c>
      <c r="C9" t="inlineStr">
        <is>
          <t>CL-2601</t>
        </is>
      </c>
      <c r="D9" s="6" t="n">
        <v>46181</v>
      </c>
      <c r="E9">
        <f>TEXT(D9,"yyyy-mm")</f>
        <v/>
      </c>
      <c r="F9" t="inlineStr">
        <is>
          <t>PO-4100</t>
        </is>
      </c>
      <c r="G9" s="2" t="n">
        <v>1025.5</v>
      </c>
      <c r="H9" s="2" t="n">
        <v>82.04000000000001</v>
      </c>
      <c r="I9" s="2" t="n">
        <v>1107.54</v>
      </c>
      <c r="J9" s="2" t="n">
        <v>1107.54</v>
      </c>
      <c r="K9">
        <f>IF(ABS(I9-J9)&gt;0.01,"TOTAL MISMATCH","ok")</f>
        <v/>
      </c>
    </row>
    <row r="10">
      <c r="A10" t="inlineStr">
        <is>
          <t>CL-2603.pdf</t>
        </is>
      </c>
      <c r="B10" t="inlineStr">
        <is>
          <t>Cedar Lab Diagnostics</t>
        </is>
      </c>
      <c r="C10" t="inlineStr">
        <is>
          <t>CL-2603</t>
        </is>
      </c>
      <c r="D10" s="6" t="n">
        <v>46123</v>
      </c>
      <c r="E10">
        <f>TEXT(D10,"yyyy-mm")</f>
        <v/>
      </c>
      <c r="F10" t="inlineStr">
        <is>
          <t>PO-4102</t>
        </is>
      </c>
      <c r="G10" s="2" t="n">
        <v>527.75</v>
      </c>
      <c r="H10" s="2" t="n">
        <v>42.22</v>
      </c>
      <c r="I10" s="2" t="n">
        <v>569.97</v>
      </c>
      <c r="J10" s="2" t="n">
        <v>569.97</v>
      </c>
      <c r="K10">
        <f>IF(ABS(I10-J10)&gt;0.01,"TOTAL MISMATCH","ok")</f>
        <v/>
      </c>
    </row>
    <row r="11">
      <c r="A11" t="inlineStr">
        <is>
          <t>CL-2607.pdf</t>
        </is>
      </c>
      <c r="B11" t="inlineStr">
        <is>
          <t>Cedar Lab Diagnostics</t>
        </is>
      </c>
      <c r="C11" t="inlineStr">
        <is>
          <t>CL-2607</t>
        </is>
      </c>
      <c r="D11" s="6" t="n">
        <v>46141</v>
      </c>
      <c r="E11">
        <f>TEXT(D11,"yyyy-mm")</f>
        <v/>
      </c>
      <c r="G11" s="2" t="n">
        <v>846</v>
      </c>
      <c r="H11" s="2" t="n">
        <v>67.68000000000001</v>
      </c>
      <c r="I11" s="2" t="n">
        <v>913.6799999999999</v>
      </c>
      <c r="J11" s="2" t="n">
        <v>913.6799999999999</v>
      </c>
      <c r="K11">
        <f>IF(ABS(I11-J11)&gt;0.01,"TOTAL MISMATCH","ok")</f>
        <v/>
      </c>
    </row>
    <row r="12">
      <c r="A12" t="inlineStr">
        <is>
          <t>CL-2608.pdf</t>
        </is>
      </c>
      <c r="B12" t="inlineStr">
        <is>
          <t>Cedar Lab Diagnostics</t>
        </is>
      </c>
      <c r="C12" t="inlineStr">
        <is>
          <t>CL-2608</t>
        </is>
      </c>
      <c r="D12" s="6" t="n">
        <v>46230</v>
      </c>
      <c r="E12">
        <f>TEXT(D12,"yyyy-mm")</f>
        <v/>
      </c>
      <c r="F12" t="inlineStr">
        <is>
          <t>PO-4107</t>
        </is>
      </c>
      <c r="G12" s="2" t="n">
        <v>1921.5</v>
      </c>
      <c r="H12" s="2" t="n">
        <v>153.72</v>
      </c>
      <c r="I12" s="2" t="n">
        <v>2075.22</v>
      </c>
      <c r="J12" s="2" t="n">
        <v>2075.22</v>
      </c>
      <c r="K12">
        <f>IF(ABS(I12-J12)&gt;0.01,"TOTAL MISMATCH","ok")</f>
        <v/>
      </c>
    </row>
    <row r="13">
      <c r="A13" t="inlineStr">
        <is>
          <t>CL-2611.pdf</t>
        </is>
      </c>
      <c r="B13" t="inlineStr">
        <is>
          <t>Cedar Lab Diagnostics</t>
        </is>
      </c>
      <c r="C13" t="inlineStr">
        <is>
          <t>CL-2611</t>
        </is>
      </c>
      <c r="D13" s="6" t="n">
        <v>46099</v>
      </c>
      <c r="E13">
        <f>TEXT(D13,"yyyy-mm")</f>
        <v/>
      </c>
      <c r="F13" t="inlineStr">
        <is>
          <t>PO-4110</t>
        </is>
      </c>
      <c r="G13" s="2" t="n">
        <v>3524</v>
      </c>
      <c r="H13" s="2" t="n">
        <v>281.92</v>
      </c>
      <c r="I13" s="2" t="n">
        <v>3805.92</v>
      </c>
      <c r="J13" s="2" t="n">
        <v>3805.92</v>
      </c>
      <c r="K13">
        <f>IF(ABS(I13-J13)&gt;0.01,"TOTAL MISMATCH","ok")</f>
        <v/>
      </c>
    </row>
    <row r="14">
      <c r="A14" t="inlineStr">
        <is>
          <t>CL-2612.pdf</t>
        </is>
      </c>
      <c r="B14" t="inlineStr">
        <is>
          <t>Cedar Lab Diagnostics</t>
        </is>
      </c>
      <c r="C14" t="inlineStr">
        <is>
          <t>CL-2612</t>
        </is>
      </c>
      <c r="D14" s="6" t="n">
        <v>46178</v>
      </c>
      <c r="E14">
        <f>TEXT(D14,"yyyy-mm")</f>
        <v/>
      </c>
      <c r="F14" t="inlineStr">
        <is>
          <t>PO-4111</t>
        </is>
      </c>
      <c r="G14" s="2" t="n">
        <v>1540</v>
      </c>
      <c r="H14" s="2" t="n">
        <v>123.2</v>
      </c>
      <c r="I14" s="2" t="n">
        <v>1713.2</v>
      </c>
      <c r="J14" s="2" t="n">
        <v>1663.2</v>
      </c>
      <c r="K14">
        <f>IF(ABS(I14-J14)&gt;0.01,"TOTAL MISMATCH","ok")</f>
        <v/>
      </c>
    </row>
    <row r="15">
      <c r="A15" t="inlineStr">
        <is>
          <t>CL-2613.pdf</t>
        </is>
      </c>
      <c r="B15" t="inlineStr">
        <is>
          <t>Cedar Lab Diagnostics</t>
        </is>
      </c>
      <c r="C15" t="inlineStr">
        <is>
          <t>CL-2613</t>
        </is>
      </c>
      <c r="D15" s="6" t="n">
        <v>46250</v>
      </c>
      <c r="E15">
        <f>TEXT(D15,"yyyy-mm")</f>
        <v/>
      </c>
      <c r="F15" t="inlineStr">
        <is>
          <t>PO-4112</t>
        </is>
      </c>
      <c r="G15" s="2" t="n">
        <v>1648</v>
      </c>
      <c r="H15" s="2" t="n">
        <v>131.84</v>
      </c>
      <c r="I15" s="2" t="n">
        <v>1779.84</v>
      </c>
      <c r="J15" s="2" t="n">
        <v>1779.84</v>
      </c>
      <c r="K15">
        <f>IF(ABS(I15-J15)&gt;0.01,"TOTAL MISMATCH","ok")</f>
        <v/>
      </c>
    </row>
    <row r="16">
      <c r="A16" t="inlineStr">
        <is>
          <t>CL-2618.pdf</t>
        </is>
      </c>
      <c r="B16" t="inlineStr">
        <is>
          <t>Cedar Lab Diagnostics</t>
        </is>
      </c>
      <c r="C16" t="inlineStr">
        <is>
          <t>CL-2618</t>
        </is>
      </c>
      <c r="D16" s="6" t="n">
        <v>46227</v>
      </c>
      <c r="E16">
        <f>TEXT(D16,"yyyy-mm")</f>
        <v/>
      </c>
      <c r="F16" t="inlineStr">
        <is>
          <t>PO-4117</t>
        </is>
      </c>
      <c r="G16" s="2" t="n">
        <v>413.4</v>
      </c>
      <c r="H16" s="2" t="n">
        <v>33.07</v>
      </c>
      <c r="I16" s="2" t="n">
        <v>446.47</v>
      </c>
      <c r="J16" s="2" t="n">
        <v>446.47</v>
      </c>
      <c r="K16">
        <f>IF(ABS(I16-J16)&gt;0.01,"TOTAL MISMATCH","ok")</f>
        <v/>
      </c>
    </row>
    <row r="17">
      <c r="A17" t="inlineStr">
        <is>
          <t>CL-2619.pdf</t>
        </is>
      </c>
      <c r="B17" t="inlineStr">
        <is>
          <t>Cedar Lab Diagnostics</t>
        </is>
      </c>
      <c r="C17" t="inlineStr">
        <is>
          <t>CL-2619</t>
        </is>
      </c>
      <c r="D17" s="6" t="n">
        <v>46140</v>
      </c>
      <c r="E17">
        <f>TEXT(D17,"yyyy-mm")</f>
        <v/>
      </c>
      <c r="F17" t="inlineStr">
        <is>
          <t>PO-4118</t>
        </is>
      </c>
      <c r="G17" s="2" t="n">
        <v>1295.8</v>
      </c>
      <c r="H17" s="2" t="n">
        <v>103.66</v>
      </c>
      <c r="I17" s="2" t="n">
        <v>1399.46</v>
      </c>
      <c r="J17" s="2" t="n">
        <v>1399.46</v>
      </c>
      <c r="K17">
        <f>IF(ABS(I17-J17)&gt;0.01,"TOTAL MISMATCH","ok")</f>
        <v/>
      </c>
    </row>
    <row r="18">
      <c r="A18" t="inlineStr">
        <is>
          <t>NW-2604.pdf</t>
        </is>
      </c>
      <c r="B18" t="inlineStr">
        <is>
          <t>Northwind Medical Supply</t>
        </is>
      </c>
      <c r="C18" t="inlineStr">
        <is>
          <t>NW-2604</t>
        </is>
      </c>
      <c r="D18" s="6" t="n">
        <v>46253</v>
      </c>
      <c r="E18">
        <f>TEXT(D18,"yyyy-mm")</f>
        <v/>
      </c>
      <c r="F18" t="inlineStr">
        <is>
          <t>PO-4103</t>
        </is>
      </c>
      <c r="G18" s="2" t="n">
        <v>2250.75</v>
      </c>
      <c r="H18" s="2" t="n">
        <v>180.06</v>
      </c>
      <c r="I18" s="2" t="n">
        <v>2430.81</v>
      </c>
      <c r="J18" s="2" t="n">
        <v>2430.81</v>
      </c>
      <c r="K18">
        <f>IF(ABS(I18-J18)&gt;0.01,"TOTAL MISMATCH","ok")</f>
        <v/>
      </c>
    </row>
    <row r="19">
      <c r="A19" t="inlineStr">
        <is>
          <t>NW-2604_resent.pdf</t>
        </is>
      </c>
      <c r="B19" t="inlineStr">
        <is>
          <t>Northwind Medical Supply</t>
        </is>
      </c>
      <c r="C19" t="inlineStr">
        <is>
          <t>NW-2604</t>
        </is>
      </c>
      <c r="D19" s="6" t="n">
        <v>46253</v>
      </c>
      <c r="E19">
        <f>TEXT(D19,"yyyy-mm")</f>
        <v/>
      </c>
      <c r="F19" t="inlineStr">
        <is>
          <t>PO-4103</t>
        </is>
      </c>
      <c r="G19" s="2" t="n">
        <v>2250.75</v>
      </c>
      <c r="H19" s="2" t="n">
        <v>180.06</v>
      </c>
      <c r="I19" s="2" t="n">
        <v>2430.81</v>
      </c>
      <c r="J19" s="2" t="n">
        <v>2430.81</v>
      </c>
      <c r="K19">
        <f>IF(ABS(I19-J19)&gt;0.01,"TOTAL MISMATCH","ok")</f>
        <v/>
      </c>
    </row>
    <row r="20">
      <c r="A20" t="inlineStr">
        <is>
          <t>NW-2606.pdf</t>
        </is>
      </c>
      <c r="B20" t="inlineStr">
        <is>
          <t>Northwind Medical Supply</t>
        </is>
      </c>
      <c r="C20" t="inlineStr">
        <is>
          <t>NW-2606</t>
        </is>
      </c>
      <c r="D20" s="6" t="n">
        <v>46219</v>
      </c>
      <c r="E20">
        <f>TEXT(D20,"yyyy-mm")</f>
        <v/>
      </c>
      <c r="F20" t="inlineStr">
        <is>
          <t>PO-4105</t>
        </is>
      </c>
      <c r="G20" s="2" t="n">
        <v>2875.5</v>
      </c>
      <c r="H20" s="2" t="n">
        <v>230.04</v>
      </c>
      <c r="I20" s="2" t="n">
        <v>3105.54</v>
      </c>
      <c r="J20" s="2" t="n">
        <v>3105.54</v>
      </c>
      <c r="K20">
        <f>IF(ABS(I20-J20)&gt;0.01,"TOTAL MISMATCH","ok")</f>
        <v/>
      </c>
    </row>
    <row r="21">
      <c r="A21" t="inlineStr">
        <is>
          <t>NW-2609.pdf</t>
        </is>
      </c>
      <c r="B21" t="inlineStr">
        <is>
          <t>Northwind Medical Supply</t>
        </is>
      </c>
      <c r="C21" t="inlineStr">
        <is>
          <t>NW-2609</t>
        </is>
      </c>
      <c r="D21" s="6" t="n">
        <v>46092</v>
      </c>
      <c r="E21">
        <f>TEXT(D21,"yyyy-mm")</f>
        <v/>
      </c>
      <c r="F21" t="inlineStr">
        <is>
          <t>PO-4108</t>
        </is>
      </c>
      <c r="G21" s="2" t="n">
        <v>3480</v>
      </c>
      <c r="H21" s="2" t="n">
        <v>278.4</v>
      </c>
      <c r="I21" s="2" t="n">
        <v>3758.4</v>
      </c>
      <c r="J21" s="2" t="n">
        <v>3758.4</v>
      </c>
      <c r="K21">
        <f>IF(ABS(I21-J21)&gt;0.01,"TOTAL MISMATCH","ok")</f>
        <v/>
      </c>
    </row>
    <row r="22">
      <c r="A22" t="inlineStr">
        <is>
          <t>NW-2614.pdf</t>
        </is>
      </c>
      <c r="B22" t="inlineStr">
        <is>
          <t>Northwind Medical Supply</t>
        </is>
      </c>
      <c r="C22" t="inlineStr">
        <is>
          <t>NW-2614</t>
        </is>
      </c>
      <c r="D22" s="6" t="n">
        <v>46129</v>
      </c>
      <c r="E22">
        <f>TEXT(D22,"yyyy-mm")</f>
        <v/>
      </c>
      <c r="F22" t="inlineStr">
        <is>
          <t>PO-4113</t>
        </is>
      </c>
      <c r="G22" s="2" t="n">
        <v>2571.25</v>
      </c>
      <c r="H22" s="2" t="n">
        <v>205.7</v>
      </c>
      <c r="I22" s="2" t="n">
        <v>2776.95</v>
      </c>
      <c r="J22" s="2" t="n">
        <v>2776.95</v>
      </c>
      <c r="K22">
        <f>IF(ABS(I22-J22)&gt;0.01,"TOTAL MISMATCH","ok")</f>
        <v/>
      </c>
    </row>
    <row r="23">
      <c r="A23" t="inlineStr">
        <is>
          <t>NW-2616.pdf</t>
        </is>
      </c>
      <c r="B23" t="inlineStr">
        <is>
          <t>Northwind Medical Supply</t>
        </is>
      </c>
      <c r="C23" t="inlineStr">
        <is>
          <t>NW-2616</t>
        </is>
      </c>
      <c r="D23" s="6" t="n">
        <v>46129</v>
      </c>
      <c r="E23">
        <f>TEXT(D23,"yyyy-mm")</f>
        <v/>
      </c>
      <c r="F23" t="inlineStr">
        <is>
          <t>PO-4115</t>
        </is>
      </c>
      <c r="G23" s="2" t="n">
        <v>441</v>
      </c>
      <c r="H23" s="2" t="n">
        <v>35.28</v>
      </c>
      <c r="I23" s="2" t="n">
        <v>476.28</v>
      </c>
      <c r="J23" s="2" t="n">
        <v>476.28</v>
      </c>
      <c r="K23">
        <f>IF(ABS(I23-J23)&gt;0.01,"TOTAL MISMATCH","ok")</f>
        <v/>
      </c>
    </row>
    <row r="24">
      <c r="A24" t="inlineStr">
        <is>
          <t>NW-2617.pdf</t>
        </is>
      </c>
      <c r="B24" t="inlineStr">
        <is>
          <t>Northwind Medical Supply</t>
        </is>
      </c>
      <c r="C24" t="inlineStr">
        <is>
          <t>NW-2617</t>
        </is>
      </c>
      <c r="D24" s="6" t="n">
        <v>46108</v>
      </c>
      <c r="E24">
        <f>TEXT(D24,"yyyy-mm")</f>
        <v/>
      </c>
      <c r="F24" t="inlineStr">
        <is>
          <t>PO-4116</t>
        </is>
      </c>
      <c r="G24" s="2" t="n">
        <v>1296.7</v>
      </c>
      <c r="H24" s="2" t="n">
        <v>103.74</v>
      </c>
      <c r="I24" s="2" t="n">
        <v>1400.44</v>
      </c>
      <c r="J24" s="2" t="n">
        <v>1400.44</v>
      </c>
      <c r="K24">
        <f>IF(ABS(I24-J24)&gt;0.01,"TOTAL MISMATCH","ok")</f>
        <v/>
      </c>
    </row>
  </sheetData>
  <conditionalFormatting sqref="K2:K24">
    <cfRule type="expression" priority="1" dxfId="0">
      <formula>K2&lt;&gt;"ok"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12" customWidth="1" min="4" max="4"/>
    <col width="11" customWidth="1" min="5" max="5"/>
  </cols>
  <sheetData>
    <row r="1">
      <c r="A1" s="5" t="inlineStr">
        <is>
          <t>Invoice No</t>
        </is>
      </c>
      <c r="B1" s="5" t="inlineStr">
        <is>
          <t>Description</t>
        </is>
      </c>
      <c r="C1" s="5" t="inlineStr">
        <is>
          <t>Qty</t>
        </is>
      </c>
      <c r="D1" s="5" t="inlineStr">
        <is>
          <t>Unit price</t>
        </is>
      </c>
      <c r="E1" s="5" t="inlineStr">
        <is>
          <t>Amount</t>
        </is>
      </c>
    </row>
    <row r="2">
      <c r="A2" t="inlineStr">
        <is>
          <t>BB-2602</t>
        </is>
      </c>
      <c r="B2" t="inlineStr">
        <is>
          <t>A4 paper, box of 5 reams</t>
        </is>
      </c>
      <c r="C2" t="n">
        <v>16</v>
      </c>
      <c r="D2" s="2" t="n">
        <v>88</v>
      </c>
      <c r="E2" s="2" t="n">
        <v>1408</v>
      </c>
    </row>
    <row r="3">
      <c r="A3" t="inlineStr">
        <is>
          <t>BB-2602</t>
        </is>
      </c>
      <c r="B3" t="inlineStr">
        <is>
          <t>Printed appointment cards x500</t>
        </is>
      </c>
      <c r="C3" t="n">
        <v>22</v>
      </c>
      <c r="D3" s="2" t="n">
        <v>26</v>
      </c>
      <c r="E3" s="2" t="n">
        <v>572</v>
      </c>
    </row>
    <row r="4">
      <c r="A4" t="inlineStr">
        <is>
          <t>BB-2602</t>
        </is>
      </c>
      <c r="B4" t="inlineStr">
        <is>
          <t>Label roll 62 mm</t>
        </is>
      </c>
      <c r="C4" t="n">
        <v>16</v>
      </c>
      <c r="D4" s="2" t="n">
        <v>7.25</v>
      </c>
      <c r="E4" s="2" t="n">
        <v>116</v>
      </c>
    </row>
    <row r="5">
      <c r="A5" t="inlineStr">
        <is>
          <t>BB-2602</t>
        </is>
      </c>
      <c r="B5" t="inlineStr">
        <is>
          <t>Binder clips, pack of 48</t>
        </is>
      </c>
      <c r="C5" t="n">
        <v>22</v>
      </c>
      <c r="D5" s="2" t="n">
        <v>26</v>
      </c>
      <c r="E5" s="2" t="n">
        <v>572</v>
      </c>
    </row>
    <row r="6">
      <c r="A6" t="inlineStr">
        <is>
          <t>BB-2605</t>
        </is>
      </c>
      <c r="B6" t="inlineStr">
        <is>
          <t>Printed appointment cards x500</t>
        </is>
      </c>
      <c r="C6" t="n">
        <v>16</v>
      </c>
      <c r="D6" s="2" t="n">
        <v>120</v>
      </c>
      <c r="E6" s="2" t="n">
        <v>1920</v>
      </c>
    </row>
    <row r="7">
      <c r="A7" t="inlineStr">
        <is>
          <t>BB-2605</t>
        </is>
      </c>
      <c r="B7" t="inlineStr">
        <is>
          <t>Toner cartridge 26A</t>
        </is>
      </c>
      <c r="C7" t="n">
        <v>9</v>
      </c>
      <c r="D7" s="2" t="n">
        <v>120</v>
      </c>
      <c r="E7" s="2" t="n">
        <v>1080</v>
      </c>
    </row>
    <row r="8">
      <c r="A8" t="inlineStr">
        <is>
          <t>BB-2610</t>
        </is>
      </c>
      <c r="B8" t="inlineStr">
        <is>
          <t>Label roll 62 mm</t>
        </is>
      </c>
      <c r="C8" t="n">
        <v>12</v>
      </c>
      <c r="D8" s="2" t="n">
        <v>26</v>
      </c>
      <c r="E8" s="2" t="n">
        <v>312</v>
      </c>
    </row>
    <row r="9">
      <c r="A9" t="inlineStr">
        <is>
          <t>BB-2610</t>
        </is>
      </c>
      <c r="B9" t="inlineStr">
        <is>
          <t>Printed appointment cards x500</t>
        </is>
      </c>
      <c r="C9" t="n">
        <v>5</v>
      </c>
      <c r="D9" s="2" t="n">
        <v>39.5</v>
      </c>
      <c r="E9" s="2" t="n">
        <v>197.5</v>
      </c>
    </row>
    <row r="10">
      <c r="A10" t="inlineStr">
        <is>
          <t>BB-2615</t>
        </is>
      </c>
      <c r="B10" t="inlineStr">
        <is>
          <t>Label roll 62 mm</t>
        </is>
      </c>
      <c r="C10" t="n">
        <v>15</v>
      </c>
      <c r="D10" s="2" t="n">
        <v>64</v>
      </c>
      <c r="E10" s="2" t="n">
        <v>960</v>
      </c>
    </row>
    <row r="11">
      <c r="A11" t="inlineStr">
        <is>
          <t>BB-2615</t>
        </is>
      </c>
      <c r="B11" t="inlineStr">
        <is>
          <t>Printed appointment cards x500</t>
        </is>
      </c>
      <c r="C11" t="n">
        <v>14</v>
      </c>
      <c r="D11" s="2" t="n">
        <v>12</v>
      </c>
      <c r="E11" s="2" t="n">
        <v>168</v>
      </c>
    </row>
    <row r="12">
      <c r="A12" t="inlineStr">
        <is>
          <t>BB-2615</t>
        </is>
      </c>
      <c r="B12" t="inlineStr">
        <is>
          <t>Binder clips, pack of 48</t>
        </is>
      </c>
      <c r="C12" t="n">
        <v>11</v>
      </c>
      <c r="D12" s="2" t="n">
        <v>7.25</v>
      </c>
      <c r="E12" s="2" t="n">
        <v>79.75</v>
      </c>
    </row>
    <row r="13">
      <c r="A13" t="inlineStr">
        <is>
          <t>BB-2615</t>
        </is>
      </c>
      <c r="B13" t="inlineStr">
        <is>
          <t>Toner cartridge 26A</t>
        </is>
      </c>
      <c r="C13" t="n">
        <v>7</v>
      </c>
      <c r="D13" s="2" t="n">
        <v>120</v>
      </c>
      <c r="E13" s="2" t="n">
        <v>840</v>
      </c>
    </row>
    <row r="14">
      <c r="A14" t="inlineStr">
        <is>
          <t>BB-2620</t>
        </is>
      </c>
      <c r="B14" t="inlineStr">
        <is>
          <t>Label roll 62 mm</t>
        </is>
      </c>
      <c r="C14" t="n">
        <v>18</v>
      </c>
      <c r="D14" s="2" t="n">
        <v>26</v>
      </c>
      <c r="E14" s="2" t="n">
        <v>468</v>
      </c>
    </row>
    <row r="15">
      <c r="A15" t="inlineStr">
        <is>
          <t>BB-2620</t>
        </is>
      </c>
      <c r="B15" t="inlineStr">
        <is>
          <t>Binder clips, pack of 48</t>
        </is>
      </c>
      <c r="C15" t="n">
        <v>1</v>
      </c>
      <c r="D15" s="2" t="n">
        <v>18.9</v>
      </c>
      <c r="E15" s="2" t="n">
        <v>18.9</v>
      </c>
    </row>
    <row r="16">
      <c r="A16" t="inlineStr">
        <is>
          <t>BB-2621</t>
        </is>
      </c>
      <c r="B16" t="inlineStr">
        <is>
          <t>Printed appointment cards x500</t>
        </is>
      </c>
      <c r="C16" t="n">
        <v>8</v>
      </c>
      <c r="D16" s="2" t="n">
        <v>120</v>
      </c>
      <c r="E16" s="2" t="n">
        <v>960</v>
      </c>
    </row>
    <row r="17">
      <c r="A17" t="inlineStr">
        <is>
          <t>BB-2621</t>
        </is>
      </c>
      <c r="B17" t="inlineStr">
        <is>
          <t>Label roll 62 mm</t>
        </is>
      </c>
      <c r="C17" t="n">
        <v>13</v>
      </c>
      <c r="D17" s="2" t="n">
        <v>39.5</v>
      </c>
      <c r="E17" s="2" t="n">
        <v>513.5</v>
      </c>
    </row>
    <row r="18">
      <c r="A18" t="inlineStr">
        <is>
          <t>BB-2621</t>
        </is>
      </c>
      <c r="B18" t="inlineStr">
        <is>
          <t>A4 paper, box of 5 reams</t>
        </is>
      </c>
      <c r="C18" t="n">
        <v>3</v>
      </c>
      <c r="D18" s="2" t="n">
        <v>7.25</v>
      </c>
      <c r="E18" s="2" t="n">
        <v>21.75</v>
      </c>
    </row>
    <row r="19">
      <c r="A19" t="inlineStr">
        <is>
          <t>BB-2621</t>
        </is>
      </c>
      <c r="B19" t="inlineStr">
        <is>
          <t>Toner cartridge 26A</t>
        </is>
      </c>
      <c r="C19" t="n">
        <v>12</v>
      </c>
      <c r="D19" s="2" t="n">
        <v>88</v>
      </c>
      <c r="E19" s="2" t="n">
        <v>1056</v>
      </c>
    </row>
    <row r="20">
      <c r="A20" t="inlineStr">
        <is>
          <t>BB-2622</t>
        </is>
      </c>
      <c r="B20" t="inlineStr">
        <is>
          <t>Binder clips, pack of 48</t>
        </is>
      </c>
      <c r="C20" t="n">
        <v>2</v>
      </c>
      <c r="D20" s="2" t="n">
        <v>7.25</v>
      </c>
      <c r="E20" s="2" t="n">
        <v>14.5</v>
      </c>
    </row>
    <row r="21">
      <c r="A21" t="inlineStr">
        <is>
          <t>BB-2622</t>
        </is>
      </c>
      <c r="B21" t="inlineStr">
        <is>
          <t>Printed appointment cards x500</t>
        </is>
      </c>
      <c r="C21" t="n">
        <v>6</v>
      </c>
      <c r="D21" s="2" t="n">
        <v>120</v>
      </c>
      <c r="E21" s="2" t="n">
        <v>720</v>
      </c>
    </row>
    <row r="22">
      <c r="A22" t="inlineStr">
        <is>
          <t>BB-2622</t>
        </is>
      </c>
      <c r="B22" t="inlineStr">
        <is>
          <t>A4 paper, box of 5 reams</t>
        </is>
      </c>
      <c r="C22" t="n">
        <v>1</v>
      </c>
      <c r="D22" s="2" t="n">
        <v>26</v>
      </c>
      <c r="E22" s="2" t="n">
        <v>26</v>
      </c>
    </row>
    <row r="23">
      <c r="A23" t="inlineStr">
        <is>
          <t>CL-2601</t>
        </is>
      </c>
      <c r="B23" t="inlineStr">
        <is>
          <t>Glucose test strips x50</t>
        </is>
      </c>
      <c r="C23" t="n">
        <v>6</v>
      </c>
      <c r="D23" s="2" t="n">
        <v>7.25</v>
      </c>
      <c r="E23" s="2" t="n">
        <v>43.5</v>
      </c>
    </row>
    <row r="24">
      <c r="A24" t="inlineStr">
        <is>
          <t>CL-2601</t>
        </is>
      </c>
      <c r="B24" t="inlineStr">
        <is>
          <t>Pipette tips 200 ul x1000</t>
        </is>
      </c>
      <c r="C24" t="n">
        <v>23</v>
      </c>
      <c r="D24" s="2" t="n">
        <v>12</v>
      </c>
      <c r="E24" s="2" t="n">
        <v>276</v>
      </c>
    </row>
    <row r="25">
      <c r="A25" t="inlineStr">
        <is>
          <t>CL-2601</t>
        </is>
      </c>
      <c r="B25" t="inlineStr">
        <is>
          <t>CBC reagent kit</t>
        </is>
      </c>
      <c r="C25" t="n">
        <v>23</v>
      </c>
      <c r="D25" s="2" t="n">
        <v>26</v>
      </c>
      <c r="E25" s="2" t="n">
        <v>598</v>
      </c>
    </row>
    <row r="26">
      <c r="A26" t="inlineStr">
        <is>
          <t>CL-2601</t>
        </is>
      </c>
      <c r="B26" t="inlineStr">
        <is>
          <t>Urine dipsticks x100</t>
        </is>
      </c>
      <c r="C26" t="n">
        <v>24</v>
      </c>
      <c r="D26" s="2" t="n">
        <v>4.5</v>
      </c>
      <c r="E26" s="2" t="n">
        <v>108</v>
      </c>
    </row>
    <row r="27">
      <c r="A27" t="inlineStr">
        <is>
          <t>CL-2603</t>
        </is>
      </c>
      <c r="B27" t="inlineStr">
        <is>
          <t>Urine dipsticks x100</t>
        </is>
      </c>
      <c r="C27" t="n">
        <v>22</v>
      </c>
      <c r="D27" s="2" t="n">
        <v>4.5</v>
      </c>
      <c r="E27" s="2" t="n">
        <v>99</v>
      </c>
    </row>
    <row r="28">
      <c r="A28" t="inlineStr">
        <is>
          <t>CL-2603</t>
        </is>
      </c>
      <c r="B28" t="inlineStr">
        <is>
          <t>Pipette tips 200 ul x1000</t>
        </is>
      </c>
      <c r="C28" t="n">
        <v>7</v>
      </c>
      <c r="D28" s="2" t="n">
        <v>39.5</v>
      </c>
      <c r="E28" s="2" t="n">
        <v>276.5</v>
      </c>
    </row>
    <row r="29">
      <c r="A29" t="inlineStr">
        <is>
          <t>CL-2603</t>
        </is>
      </c>
      <c r="B29" t="inlineStr">
        <is>
          <t>CBC reagent kit</t>
        </is>
      </c>
      <c r="C29" t="n">
        <v>11</v>
      </c>
      <c r="D29" s="2" t="n">
        <v>7.25</v>
      </c>
      <c r="E29" s="2" t="n">
        <v>79.75</v>
      </c>
    </row>
    <row r="30">
      <c r="A30" t="inlineStr">
        <is>
          <t>CL-2603</t>
        </is>
      </c>
      <c r="B30" t="inlineStr">
        <is>
          <t>Glucose test strips x50</t>
        </is>
      </c>
      <c r="C30" t="n">
        <v>10</v>
      </c>
      <c r="D30" s="2" t="n">
        <v>7.25</v>
      </c>
      <c r="E30" s="2" t="n">
        <v>72.5</v>
      </c>
    </row>
    <row r="31">
      <c r="A31" t="inlineStr">
        <is>
          <t>CL-2607</t>
        </is>
      </c>
      <c r="B31" t="inlineStr">
        <is>
          <t>Glucose test strips x50</t>
        </is>
      </c>
      <c r="C31" t="n">
        <v>3</v>
      </c>
      <c r="D31" s="2" t="n">
        <v>88</v>
      </c>
      <c r="E31" s="2" t="n">
        <v>264</v>
      </c>
    </row>
    <row r="32">
      <c r="A32" t="inlineStr">
        <is>
          <t>CL-2607</t>
        </is>
      </c>
      <c r="B32" t="inlineStr">
        <is>
          <t>Urine dipsticks x100</t>
        </is>
      </c>
      <c r="C32" t="n">
        <v>12</v>
      </c>
      <c r="D32" s="2" t="n">
        <v>39.5</v>
      </c>
      <c r="E32" s="2" t="n">
        <v>474</v>
      </c>
    </row>
    <row r="33">
      <c r="A33" t="inlineStr">
        <is>
          <t>CL-2607</t>
        </is>
      </c>
      <c r="B33" t="inlineStr">
        <is>
          <t>Pipette tips 200 ul x1000</t>
        </is>
      </c>
      <c r="C33" t="n">
        <v>9</v>
      </c>
      <c r="D33" s="2" t="n">
        <v>12</v>
      </c>
      <c r="E33" s="2" t="n">
        <v>108</v>
      </c>
    </row>
    <row r="34">
      <c r="A34" t="inlineStr">
        <is>
          <t>CL-2608</t>
        </is>
      </c>
      <c r="B34" t="inlineStr">
        <is>
          <t>Urine dipsticks x100</t>
        </is>
      </c>
      <c r="C34" t="n">
        <v>2</v>
      </c>
      <c r="D34" s="2" t="n">
        <v>4.5</v>
      </c>
      <c r="E34" s="2" t="n">
        <v>9</v>
      </c>
    </row>
    <row r="35">
      <c r="A35" t="inlineStr">
        <is>
          <t>CL-2608</t>
        </is>
      </c>
      <c r="B35" t="inlineStr">
        <is>
          <t>Glucose test strips x50</t>
        </is>
      </c>
      <c r="C35" t="n">
        <v>15</v>
      </c>
      <c r="D35" s="2" t="n">
        <v>39.5</v>
      </c>
      <c r="E35" s="2" t="n">
        <v>592.5</v>
      </c>
    </row>
    <row r="36">
      <c r="A36" t="inlineStr">
        <is>
          <t>CL-2608</t>
        </is>
      </c>
      <c r="B36" t="inlineStr">
        <is>
          <t>Specimen containers x100</t>
        </is>
      </c>
      <c r="C36" t="n">
        <v>15</v>
      </c>
      <c r="D36" s="2" t="n">
        <v>88</v>
      </c>
      <c r="E36" s="2" t="n">
        <v>1320</v>
      </c>
    </row>
    <row r="37">
      <c r="A37" t="inlineStr">
        <is>
          <t>CL-2611</t>
        </is>
      </c>
      <c r="B37" t="inlineStr">
        <is>
          <t>CBC reagent kit</t>
        </is>
      </c>
      <c r="C37" t="n">
        <v>23</v>
      </c>
      <c r="D37" s="2" t="n">
        <v>64</v>
      </c>
      <c r="E37" s="2" t="n">
        <v>1472</v>
      </c>
    </row>
    <row r="38">
      <c r="A38" t="inlineStr">
        <is>
          <t>CL-2611</t>
        </is>
      </c>
      <c r="B38" t="inlineStr">
        <is>
          <t>Urine dipsticks x100</t>
        </is>
      </c>
      <c r="C38" t="n">
        <v>13</v>
      </c>
      <c r="D38" s="2" t="n">
        <v>64</v>
      </c>
      <c r="E38" s="2" t="n">
        <v>832</v>
      </c>
    </row>
    <row r="39">
      <c r="A39" t="inlineStr">
        <is>
          <t>CL-2611</t>
        </is>
      </c>
      <c r="B39" t="inlineStr">
        <is>
          <t>Specimen containers x100</t>
        </is>
      </c>
      <c r="C39" t="n">
        <v>10</v>
      </c>
      <c r="D39" s="2" t="n">
        <v>26</v>
      </c>
      <c r="E39" s="2" t="n">
        <v>260</v>
      </c>
    </row>
    <row r="40">
      <c r="A40" t="inlineStr">
        <is>
          <t>CL-2611</t>
        </is>
      </c>
      <c r="B40" t="inlineStr">
        <is>
          <t>Pipette tips 200 ul x1000</t>
        </is>
      </c>
      <c r="C40" t="n">
        <v>15</v>
      </c>
      <c r="D40" s="2" t="n">
        <v>64</v>
      </c>
      <c r="E40" s="2" t="n">
        <v>960</v>
      </c>
    </row>
    <row r="41">
      <c r="A41" t="inlineStr">
        <is>
          <t>CL-2612</t>
        </is>
      </c>
      <c r="B41" t="inlineStr">
        <is>
          <t>CBC reagent kit</t>
        </is>
      </c>
      <c r="C41" t="n">
        <v>16</v>
      </c>
      <c r="D41" s="2" t="n">
        <v>88</v>
      </c>
      <c r="E41" s="2" t="n">
        <v>1408</v>
      </c>
    </row>
    <row r="42">
      <c r="A42" t="inlineStr">
        <is>
          <t>CL-2612</t>
        </is>
      </c>
      <c r="B42" t="inlineStr">
        <is>
          <t>Specimen containers x100</t>
        </is>
      </c>
      <c r="C42" t="n">
        <v>3</v>
      </c>
      <c r="D42" s="2" t="n">
        <v>12</v>
      </c>
      <c r="E42" s="2" t="n">
        <v>36</v>
      </c>
    </row>
    <row r="43">
      <c r="A43" t="inlineStr">
        <is>
          <t>CL-2612</t>
        </is>
      </c>
      <c r="B43" t="inlineStr">
        <is>
          <t>Pipette tips 200 ul x1000</t>
        </is>
      </c>
      <c r="C43" t="n">
        <v>8</v>
      </c>
      <c r="D43" s="2" t="n">
        <v>12</v>
      </c>
      <c r="E43" s="2" t="n">
        <v>96</v>
      </c>
    </row>
    <row r="44">
      <c r="A44" t="inlineStr">
        <is>
          <t>CL-2613</t>
        </is>
      </c>
      <c r="B44" t="inlineStr">
        <is>
          <t>Glucose test strips x50</t>
        </is>
      </c>
      <c r="C44" t="n">
        <v>2</v>
      </c>
      <c r="D44" s="2" t="n">
        <v>7.25</v>
      </c>
      <c r="E44" s="2" t="n">
        <v>14.5</v>
      </c>
    </row>
    <row r="45">
      <c r="A45" t="inlineStr">
        <is>
          <t>CL-2613</t>
        </is>
      </c>
      <c r="B45" t="inlineStr">
        <is>
          <t>Specimen containers x100</t>
        </is>
      </c>
      <c r="C45" t="n">
        <v>3</v>
      </c>
      <c r="D45" s="2" t="n">
        <v>4.5</v>
      </c>
      <c r="E45" s="2" t="n">
        <v>13.5</v>
      </c>
    </row>
    <row r="46">
      <c r="A46" t="inlineStr">
        <is>
          <t>CL-2613</t>
        </is>
      </c>
      <c r="B46" t="inlineStr">
        <is>
          <t>CBC reagent kit</t>
        </is>
      </c>
      <c r="C46" t="n">
        <v>8</v>
      </c>
      <c r="D46" s="2" t="n">
        <v>4.5</v>
      </c>
      <c r="E46" s="2" t="n">
        <v>36</v>
      </c>
    </row>
    <row r="47">
      <c r="A47" t="inlineStr">
        <is>
          <t>CL-2613</t>
        </is>
      </c>
      <c r="B47" t="inlineStr">
        <is>
          <t>Urine dipsticks x100</t>
        </is>
      </c>
      <c r="C47" t="n">
        <v>18</v>
      </c>
      <c r="D47" s="2" t="n">
        <v>88</v>
      </c>
      <c r="E47" s="2" t="n">
        <v>1584</v>
      </c>
    </row>
    <row r="48">
      <c r="A48" t="inlineStr">
        <is>
          <t>CL-2618</t>
        </is>
      </c>
      <c r="B48" t="inlineStr">
        <is>
          <t>Pipette tips 200 ul x1000</t>
        </is>
      </c>
      <c r="C48" t="n">
        <v>23</v>
      </c>
      <c r="D48" s="2" t="n">
        <v>12</v>
      </c>
      <c r="E48" s="2" t="n">
        <v>276</v>
      </c>
    </row>
    <row r="49">
      <c r="A49" t="inlineStr">
        <is>
          <t>CL-2618</t>
        </is>
      </c>
      <c r="B49" t="inlineStr">
        <is>
          <t>Urine dipsticks x100</t>
        </is>
      </c>
      <c r="C49" t="n">
        <v>2</v>
      </c>
      <c r="D49" s="2" t="n">
        <v>12</v>
      </c>
      <c r="E49" s="2" t="n">
        <v>24</v>
      </c>
    </row>
    <row r="50">
      <c r="A50" t="inlineStr">
        <is>
          <t>CL-2618</t>
        </is>
      </c>
      <c r="B50" t="inlineStr">
        <is>
          <t>Glucose test strips x50</t>
        </is>
      </c>
      <c r="C50" t="n">
        <v>6</v>
      </c>
      <c r="D50" s="2" t="n">
        <v>18.9</v>
      </c>
      <c r="E50" s="2" t="n">
        <v>113.4</v>
      </c>
    </row>
    <row r="51">
      <c r="A51" t="inlineStr">
        <is>
          <t>CL-2619</t>
        </is>
      </c>
      <c r="B51" t="inlineStr">
        <is>
          <t>Glucose test strips x50</t>
        </is>
      </c>
      <c r="C51" t="n">
        <v>10</v>
      </c>
      <c r="D51" s="2" t="n">
        <v>88</v>
      </c>
      <c r="E51" s="2" t="n">
        <v>880</v>
      </c>
    </row>
    <row r="52">
      <c r="A52" t="inlineStr">
        <is>
          <t>CL-2619</t>
        </is>
      </c>
      <c r="B52" t="inlineStr">
        <is>
          <t>Urine dipsticks x100</t>
        </is>
      </c>
      <c r="C52" t="n">
        <v>22</v>
      </c>
      <c r="D52" s="2" t="n">
        <v>18.9</v>
      </c>
      <c r="E52" s="2" t="n">
        <v>415.8</v>
      </c>
    </row>
    <row r="53">
      <c r="A53" t="inlineStr">
        <is>
          <t>NW-2604</t>
        </is>
      </c>
      <c r="B53" t="inlineStr">
        <is>
          <t>Syringe 5 ml, pack of 50</t>
        </is>
      </c>
      <c r="C53" t="n">
        <v>18</v>
      </c>
      <c r="D53" s="2" t="n">
        <v>26</v>
      </c>
      <c r="E53" s="2" t="n">
        <v>468</v>
      </c>
    </row>
    <row r="54">
      <c r="A54" t="inlineStr">
        <is>
          <t>NW-2604</t>
        </is>
      </c>
      <c r="B54" t="inlineStr">
        <is>
          <t>IV giving set</t>
        </is>
      </c>
      <c r="C54" t="n">
        <v>7</v>
      </c>
      <c r="D54" s="2" t="n">
        <v>7.25</v>
      </c>
      <c r="E54" s="2" t="n">
        <v>50.75</v>
      </c>
    </row>
    <row r="55">
      <c r="A55" t="inlineStr">
        <is>
          <t>NW-2604</t>
        </is>
      </c>
      <c r="B55" t="inlineStr">
        <is>
          <t>Gauze roll 10 cm</t>
        </is>
      </c>
      <c r="C55" t="n">
        <v>19</v>
      </c>
      <c r="D55" s="2" t="n">
        <v>88</v>
      </c>
      <c r="E55" s="2" t="n">
        <v>1672</v>
      </c>
    </row>
    <row r="56">
      <c r="A56" t="inlineStr">
        <is>
          <t>NW-2604</t>
        </is>
      </c>
      <c r="B56" t="inlineStr">
        <is>
          <t>Digital thermometer</t>
        </is>
      </c>
      <c r="C56" t="n">
        <v>5</v>
      </c>
      <c r="D56" s="2" t="n">
        <v>12</v>
      </c>
      <c r="E56" s="2" t="n">
        <v>60</v>
      </c>
    </row>
    <row r="57">
      <c r="A57" t="inlineStr">
        <is>
          <t>NW-2604</t>
        </is>
      </c>
      <c r="B57" t="inlineStr">
        <is>
          <t>Syringe 5 ml, pack of 50</t>
        </is>
      </c>
      <c r="C57" t="n">
        <v>18</v>
      </c>
      <c r="D57" s="2" t="n">
        <v>26</v>
      </c>
      <c r="E57" s="2" t="n">
        <v>468</v>
      </c>
    </row>
    <row r="58">
      <c r="A58" t="inlineStr">
        <is>
          <t>NW-2604</t>
        </is>
      </c>
      <c r="B58" t="inlineStr">
        <is>
          <t>IV giving set</t>
        </is>
      </c>
      <c r="C58" t="n">
        <v>7</v>
      </c>
      <c r="D58" s="2" t="n">
        <v>7.25</v>
      </c>
      <c r="E58" s="2" t="n">
        <v>50.75</v>
      </c>
    </row>
    <row r="59">
      <c r="A59" t="inlineStr">
        <is>
          <t>NW-2604</t>
        </is>
      </c>
      <c r="B59" t="inlineStr">
        <is>
          <t>Gauze roll 10 cm</t>
        </is>
      </c>
      <c r="C59" t="n">
        <v>19</v>
      </c>
      <c r="D59" s="2" t="n">
        <v>88</v>
      </c>
      <c r="E59" s="2" t="n">
        <v>1672</v>
      </c>
    </row>
    <row r="60">
      <c r="A60" t="inlineStr">
        <is>
          <t>NW-2604</t>
        </is>
      </c>
      <c r="B60" t="inlineStr">
        <is>
          <t>Digital thermometer</t>
        </is>
      </c>
      <c r="C60" t="n">
        <v>5</v>
      </c>
      <c r="D60" s="2" t="n">
        <v>12</v>
      </c>
      <c r="E60" s="2" t="n">
        <v>60</v>
      </c>
    </row>
    <row r="61">
      <c r="A61" t="inlineStr">
        <is>
          <t>NW-2606</t>
        </is>
      </c>
      <c r="B61" t="inlineStr">
        <is>
          <t>Nitrile gloves, box of 100</t>
        </is>
      </c>
      <c r="C61" t="n">
        <v>9</v>
      </c>
      <c r="D61" s="2" t="n">
        <v>39.5</v>
      </c>
      <c r="E61" s="2" t="n">
        <v>355.5</v>
      </c>
    </row>
    <row r="62">
      <c r="A62" t="inlineStr">
        <is>
          <t>NW-2606</t>
        </is>
      </c>
      <c r="B62" t="inlineStr">
        <is>
          <t>Syringe 5 ml, pack of 50</t>
        </is>
      </c>
      <c r="C62" t="n">
        <v>21</v>
      </c>
      <c r="D62" s="2" t="n">
        <v>120</v>
      </c>
      <c r="E62" s="2" t="n">
        <v>2520</v>
      </c>
    </row>
    <row r="63">
      <c r="A63" t="inlineStr">
        <is>
          <t>NW-2609</t>
        </is>
      </c>
      <c r="B63" t="inlineStr">
        <is>
          <t>Gauze roll 10 cm</t>
        </is>
      </c>
      <c r="C63" t="n">
        <v>13</v>
      </c>
      <c r="D63" s="2" t="n">
        <v>120</v>
      </c>
      <c r="E63" s="2" t="n">
        <v>1560</v>
      </c>
    </row>
    <row r="64">
      <c r="A64" t="inlineStr">
        <is>
          <t>NW-2609</t>
        </is>
      </c>
      <c r="B64" t="inlineStr">
        <is>
          <t>IV giving set</t>
        </is>
      </c>
      <c r="C64" t="n">
        <v>16</v>
      </c>
      <c r="D64" s="2" t="n">
        <v>120</v>
      </c>
      <c r="E64" s="2" t="n">
        <v>1920</v>
      </c>
    </row>
    <row r="65">
      <c r="A65" t="inlineStr">
        <is>
          <t>NW-2614</t>
        </is>
      </c>
      <c r="B65" t="inlineStr">
        <is>
          <t>Gauze roll 10 cm</t>
        </is>
      </c>
      <c r="C65" t="n">
        <v>4</v>
      </c>
      <c r="D65" s="2" t="n">
        <v>12</v>
      </c>
      <c r="E65" s="2" t="n">
        <v>48</v>
      </c>
    </row>
    <row r="66">
      <c r="A66" t="inlineStr">
        <is>
          <t>NW-2614</t>
        </is>
      </c>
      <c r="B66" t="inlineStr">
        <is>
          <t>Nitrile gloves, box of 100</t>
        </is>
      </c>
      <c r="C66" t="n">
        <v>17</v>
      </c>
      <c r="D66" s="2" t="n">
        <v>7.25</v>
      </c>
      <c r="E66" s="2" t="n">
        <v>123.25</v>
      </c>
    </row>
    <row r="67">
      <c r="A67" t="inlineStr">
        <is>
          <t>NW-2614</t>
        </is>
      </c>
      <c r="B67" t="inlineStr">
        <is>
          <t>Syringe 5 ml, pack of 50</t>
        </is>
      </c>
      <c r="C67" t="n">
        <v>20</v>
      </c>
      <c r="D67" s="2" t="n">
        <v>120</v>
      </c>
      <c r="E67" s="2" t="n">
        <v>2400</v>
      </c>
    </row>
    <row r="68">
      <c r="A68" t="inlineStr">
        <is>
          <t>NW-2616</t>
        </is>
      </c>
      <c r="B68" t="inlineStr">
        <is>
          <t>IV giving set</t>
        </is>
      </c>
      <c r="C68" t="n">
        <v>10</v>
      </c>
      <c r="D68" s="2" t="n">
        <v>18.9</v>
      </c>
      <c r="E68" s="2" t="n">
        <v>189</v>
      </c>
    </row>
    <row r="69">
      <c r="A69" t="inlineStr">
        <is>
          <t>NW-2616</t>
        </is>
      </c>
      <c r="B69" t="inlineStr">
        <is>
          <t>Gauze roll 10 cm</t>
        </is>
      </c>
      <c r="C69" t="n">
        <v>21</v>
      </c>
      <c r="D69" s="2" t="n">
        <v>12</v>
      </c>
      <c r="E69" s="2" t="n">
        <v>252</v>
      </c>
    </row>
    <row r="70">
      <c r="A70" t="inlineStr">
        <is>
          <t>NW-2617</t>
        </is>
      </c>
      <c r="B70" t="inlineStr">
        <is>
          <t>Digital thermometer</t>
        </is>
      </c>
      <c r="C70" t="n">
        <v>9</v>
      </c>
      <c r="D70" s="2" t="n">
        <v>88</v>
      </c>
      <c r="E70" s="2" t="n">
        <v>792</v>
      </c>
    </row>
    <row r="71">
      <c r="A71" t="inlineStr">
        <is>
          <t>NW-2617</t>
        </is>
      </c>
      <c r="B71" t="inlineStr">
        <is>
          <t>Saline 0.9% 500 ml</t>
        </is>
      </c>
      <c r="C71" t="n">
        <v>3</v>
      </c>
      <c r="D71" s="2" t="n">
        <v>18.9</v>
      </c>
      <c r="E71" s="2" t="n">
        <v>56.7</v>
      </c>
    </row>
    <row r="72">
      <c r="A72" t="inlineStr">
        <is>
          <t>NW-2617</t>
        </is>
      </c>
      <c r="B72" t="inlineStr">
        <is>
          <t>Syringe 5 ml, pack of 50</t>
        </is>
      </c>
      <c r="C72" t="n">
        <v>7</v>
      </c>
      <c r="D72" s="2" t="n">
        <v>64</v>
      </c>
      <c r="E72" s="2" t="n">
        <v>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2" customWidth="1" min="3" max="3"/>
    <col width="42" customWidth="1" min="4" max="4"/>
  </cols>
  <sheetData>
    <row r="1">
      <c r="A1" s="5" t="inlineStr">
        <is>
          <t>File</t>
        </is>
      </c>
      <c r="B1" s="5" t="inlineStr">
        <is>
          <t>Invoice No</t>
        </is>
      </c>
      <c r="C1" s="5" t="inlineStr">
        <is>
          <t>Issue</t>
        </is>
      </c>
      <c r="D1" s="5" t="inlineStr">
        <is>
          <t>What to decide</t>
        </is>
      </c>
    </row>
    <row r="2">
      <c r="A2" t="inlineStr">
        <is>
          <t>CL-2607.pdf</t>
        </is>
      </c>
      <c r="B2" t="inlineStr">
        <is>
          <t>CL-2607</t>
        </is>
      </c>
      <c r="C2" t="inlineStr">
        <is>
          <t>No PO number</t>
        </is>
      </c>
      <c r="D2" t="inlineStr">
        <is>
          <t>Match to a purchase order or get approval</t>
        </is>
      </c>
    </row>
    <row r="3">
      <c r="A3" t="inlineStr">
        <is>
          <t>CL-2612.pdf</t>
        </is>
      </c>
      <c r="B3" t="inlineStr">
        <is>
          <t>CL-2612</t>
        </is>
      </c>
      <c r="C3" t="inlineStr">
        <is>
          <t>Stated total $1,713.20 vs lines + tax $1,663.20</t>
        </is>
      </c>
      <c r="D3" t="inlineStr">
        <is>
          <t>Ask the supplier for a corrected invoice before paying</t>
        </is>
      </c>
    </row>
    <row r="4">
      <c r="A4" t="inlineStr">
        <is>
          <t>NW-2604_resent.pdf</t>
        </is>
      </c>
      <c r="B4" t="inlineStr">
        <is>
          <t>NW-2604</t>
        </is>
      </c>
      <c r="C4" t="inlineStr">
        <is>
          <t>Duplicate of NW-2604.pdf</t>
        </is>
      </c>
      <c r="D4" t="inlineStr">
        <is>
          <t>Same supplier + invoice number: pay once, file the copy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2026-09-24T08:05:51Z</dcterms:created>
  <dcterms:modified xmlns:dcterms="http://purl.org/dc/terms/" xmlns:xsi="http://www.w3.org/2001/XMLSchema-instance" xsi:type="dcterms:W3CDTF">2026-09-24T08:05:51Z</dcterms:modified>
</cp:coreProperties>
</file>