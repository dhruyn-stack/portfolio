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'Data'!$A$1:$I$361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color rgb="0080808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'Dashboard'!$A$8:$A$16</f>
            </numRef>
          </cat>
          <val>
            <numRef>
              <f>'Dashboard'!$B$8:$B$16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'Dashboard'!$E$8:$E$11</f>
            </numRef>
          </cat>
          <val>
            <numRef>
              <f>'Dashboard'!$F$8:$F$11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3" customWidth="1" min="4" max="4"/>
    <col width="12" customWidth="1" min="5" max="5"/>
    <col width="12" customWidth="1" min="6" max="6"/>
    <col width="10" customWidth="1" min="7" max="7"/>
    <col width="3" customWidth="1" min="8" max="8"/>
    <col width="10" customWidth="1" min="9" max="9"/>
    <col width="12" customWidth="1" min="10" max="10"/>
  </cols>
  <sheetData>
    <row r="1">
      <c r="A1" s="1" t="inlineStr">
        <is>
          <t>Sales dashboard — live formulas over the Data sheet</t>
        </is>
      </c>
    </row>
    <row r="3">
      <c r="A3" s="2" t="inlineStr">
        <is>
          <t>Total revenue</t>
        </is>
      </c>
      <c r="C3" s="2" t="inlineStr">
        <is>
          <t>Orders</t>
        </is>
      </c>
      <c r="E3" s="2" t="inlineStr">
        <is>
          <t>Avg order value</t>
        </is>
      </c>
      <c r="G3" s="2" t="inlineStr">
        <is>
          <t>Units sold</t>
        </is>
      </c>
    </row>
    <row r="4">
      <c r="A4" s="3">
        <f>SUM(Data!H:H)</f>
        <v/>
      </c>
      <c r="C4" s="3">
        <f>COUNTA(Data!A:A)-1</f>
        <v/>
      </c>
      <c r="E4" s="3">
        <f>AVERAGE(Data!H2:H1000)</f>
        <v/>
      </c>
      <c r="G4" s="3">
        <f>SUM(Data!F:F)</f>
        <v/>
      </c>
    </row>
    <row r="7">
      <c r="A7" s="4" t="inlineStr">
        <is>
          <t>Month</t>
        </is>
      </c>
      <c r="B7" s="4" t="inlineStr">
        <is>
          <t>Revenue</t>
        </is>
      </c>
      <c r="C7" s="4" t="inlineStr">
        <is>
          <t>Orders</t>
        </is>
      </c>
      <c r="E7" s="4" t="inlineStr">
        <is>
          <t>Category</t>
        </is>
      </c>
      <c r="F7" s="4" t="inlineStr">
        <is>
          <t>Revenue</t>
        </is>
      </c>
      <c r="G7" s="4" t="inlineStr">
        <is>
          <t>Avg units</t>
        </is>
      </c>
      <c r="I7" s="4" t="inlineStr">
        <is>
          <t>Region</t>
        </is>
      </c>
      <c r="J7" s="4" t="inlineStr">
        <is>
          <t>Revenue</t>
        </is>
      </c>
    </row>
    <row r="8">
      <c r="A8" t="inlineStr">
        <is>
          <t>2026-01</t>
        </is>
      </c>
      <c r="B8" s="5">
        <f>SUMIFS(Data!H:H,Data!C:C,A8)</f>
        <v/>
      </c>
      <c r="C8">
        <f>COUNTIFS(Data!C:C,A8)</f>
        <v/>
      </c>
      <c r="E8" t="inlineStr">
        <is>
          <t>Hardware</t>
        </is>
      </c>
      <c r="F8" s="5">
        <f>SUMIFS(Data!H:H,Data!E:E,E8)</f>
        <v/>
      </c>
      <c r="G8">
        <f>AVERAGEIFS(Data!F:F,Data!E:E,E8)</f>
        <v/>
      </c>
      <c r="I8" t="inlineStr">
        <is>
          <t>North</t>
        </is>
      </c>
      <c r="J8" s="5">
        <f>SUMIFS(Data!H:H,Data!D:D,I8)</f>
        <v/>
      </c>
    </row>
    <row r="9">
      <c r="A9" t="inlineStr">
        <is>
          <t>2026-02</t>
        </is>
      </c>
      <c r="B9" s="5">
        <f>SUMIFS(Data!H:H,Data!C:C,A9)</f>
        <v/>
      </c>
      <c r="C9">
        <f>COUNTIFS(Data!C:C,A9)</f>
        <v/>
      </c>
      <c r="E9" t="inlineStr">
        <is>
          <t>Software</t>
        </is>
      </c>
      <c r="F9" s="5">
        <f>SUMIFS(Data!H:H,Data!E:E,E9)</f>
        <v/>
      </c>
      <c r="G9">
        <f>AVERAGEIFS(Data!F:F,Data!E:E,E9)</f>
        <v/>
      </c>
      <c r="I9" t="inlineStr">
        <is>
          <t>South</t>
        </is>
      </c>
      <c r="J9" s="5">
        <f>SUMIFS(Data!H:H,Data!D:D,I9)</f>
        <v/>
      </c>
    </row>
    <row r="10">
      <c r="A10" t="inlineStr">
        <is>
          <t>2026-03</t>
        </is>
      </c>
      <c r="B10" s="5">
        <f>SUMIFS(Data!H:H,Data!C:C,A10)</f>
        <v/>
      </c>
      <c r="C10">
        <f>COUNTIFS(Data!C:C,A10)</f>
        <v/>
      </c>
      <c r="E10" t="inlineStr">
        <is>
          <t>Services</t>
        </is>
      </c>
      <c r="F10" s="5">
        <f>SUMIFS(Data!H:H,Data!E:E,E10)</f>
        <v/>
      </c>
      <c r="G10">
        <f>AVERAGEIFS(Data!F:F,Data!E:E,E10)</f>
        <v/>
      </c>
      <c r="I10" t="inlineStr">
        <is>
          <t>East</t>
        </is>
      </c>
      <c r="J10" s="5">
        <f>SUMIFS(Data!H:H,Data!D:D,I10)</f>
        <v/>
      </c>
    </row>
    <row r="11">
      <c r="A11" t="inlineStr">
        <is>
          <t>2026-04</t>
        </is>
      </c>
      <c r="B11" s="5">
        <f>SUMIFS(Data!H:H,Data!C:C,A11)</f>
        <v/>
      </c>
      <c r="C11">
        <f>COUNTIFS(Data!C:C,A11)</f>
        <v/>
      </c>
      <c r="E11" t="inlineStr">
        <is>
          <t>Training</t>
        </is>
      </c>
      <c r="F11" s="5">
        <f>SUMIFS(Data!H:H,Data!E:E,E11)</f>
        <v/>
      </c>
      <c r="G11">
        <f>AVERAGEIFS(Data!F:F,Data!E:E,E11)</f>
        <v/>
      </c>
      <c r="I11" t="inlineStr">
        <is>
          <t>West</t>
        </is>
      </c>
      <c r="J11" s="5">
        <f>SUMIFS(Data!H:H,Data!D:D,I11)</f>
        <v/>
      </c>
    </row>
    <row r="12">
      <c r="A12" t="inlineStr">
        <is>
          <t>2026-05</t>
        </is>
      </c>
      <c r="B12" s="5">
        <f>SUMIFS(Data!H:H,Data!C:C,A12)</f>
        <v/>
      </c>
      <c r="C12">
        <f>COUNTIFS(Data!C:C,A12)</f>
        <v/>
      </c>
    </row>
    <row r="13">
      <c r="A13" t="inlineStr">
        <is>
          <t>2026-06</t>
        </is>
      </c>
      <c r="B13" s="5">
        <f>SUMIFS(Data!H:H,Data!C:C,A13)</f>
        <v/>
      </c>
      <c r="C13">
        <f>COUNTIFS(Data!C:C,A13)</f>
        <v/>
      </c>
    </row>
    <row r="14">
      <c r="A14" t="inlineStr">
        <is>
          <t>2026-07</t>
        </is>
      </c>
      <c r="B14" s="5">
        <f>SUMIFS(Data!H:H,Data!C:C,A14)</f>
        <v/>
      </c>
      <c r="C14">
        <f>COUNTIFS(Data!C:C,A14)</f>
        <v/>
      </c>
    </row>
    <row r="15">
      <c r="A15" t="inlineStr">
        <is>
          <t>2026-08</t>
        </is>
      </c>
      <c r="B15" s="5">
        <f>SUMIFS(Data!H:H,Data!C:C,A15)</f>
        <v/>
      </c>
      <c r="C15">
        <f>COUNTIFS(Data!C:C,A15)</f>
        <v/>
      </c>
    </row>
    <row r="16">
      <c r="A16" t="inlineStr">
        <is>
          <t>2026-09</t>
        </is>
      </c>
      <c r="B16" s="5">
        <f>SUMIFS(Data!H:H,Data!C:C,A16)</f>
        <v/>
      </c>
      <c r="C16">
        <f>COUNTIFS(Data!C:C,A16)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1" customWidth="1" min="5" max="5"/>
    <col width="7" customWidth="1" min="6" max="6"/>
    <col width="11" customWidth="1" min="7" max="7"/>
    <col width="11" customWidth="1" min="8" max="8"/>
    <col width="9" customWidth="1" min="9" max="9"/>
  </cols>
  <sheetData>
    <row r="1">
      <c r="A1" s="4" t="inlineStr">
        <is>
          <t>Order ID</t>
        </is>
      </c>
      <c r="B1" s="4" t="inlineStr">
        <is>
          <t>Date</t>
        </is>
      </c>
      <c r="C1" s="4" t="inlineStr">
        <is>
          <t>Month</t>
        </is>
      </c>
      <c r="D1" s="4" t="inlineStr">
        <is>
          <t>Region</t>
        </is>
      </c>
      <c r="E1" s="4" t="inlineStr">
        <is>
          <t>Category</t>
        </is>
      </c>
      <c r="F1" s="4" t="inlineStr">
        <is>
          <t>Units</t>
        </is>
      </c>
      <c r="G1" s="4" t="inlineStr">
        <is>
          <t>Unit price</t>
        </is>
      </c>
      <c r="H1" s="4" t="inlineStr">
        <is>
          <t>Revenue</t>
        </is>
      </c>
      <c r="I1" s="4" t="inlineStr">
        <is>
          <t>Channel</t>
        </is>
      </c>
    </row>
    <row r="2">
      <c r="A2" t="inlineStr">
        <is>
          <t>SO-10000</t>
        </is>
      </c>
      <c r="B2" t="inlineStr">
        <is>
          <t>2026-08-28</t>
        </is>
      </c>
      <c r="C2">
        <f>TEXT(DATEVALUE(B2),"yyyy-mm")</f>
        <v/>
      </c>
      <c r="D2" t="inlineStr">
        <is>
          <t>West</t>
        </is>
      </c>
      <c r="E2" t="inlineStr">
        <is>
          <t>Software</t>
        </is>
      </c>
      <c r="F2" t="n">
        <v>18</v>
      </c>
      <c r="G2" t="n">
        <v>349</v>
      </c>
      <c r="H2">
        <f>F2*G2</f>
        <v/>
      </c>
      <c r="I2" t="inlineStr">
        <is>
          <t>Web</t>
        </is>
      </c>
    </row>
    <row r="3">
      <c r="A3" t="inlineStr">
        <is>
          <t>SO-10001</t>
        </is>
      </c>
      <c r="B3" t="inlineStr">
        <is>
          <t>2026-09-16</t>
        </is>
      </c>
      <c r="C3">
        <f>TEXT(DATEVALUE(B3),"yyyy-mm")</f>
        <v/>
      </c>
      <c r="D3" t="inlineStr">
        <is>
          <t>South</t>
        </is>
      </c>
      <c r="E3" t="inlineStr">
        <is>
          <t>Hardware</t>
        </is>
      </c>
      <c r="F3" t="n">
        <v>21</v>
      </c>
      <c r="G3" t="n">
        <v>799</v>
      </c>
      <c r="H3">
        <f>F3*G3</f>
        <v/>
      </c>
      <c r="I3" t="inlineStr">
        <is>
          <t>Partner</t>
        </is>
      </c>
    </row>
    <row r="4">
      <c r="A4" t="inlineStr">
        <is>
          <t>SO-10002</t>
        </is>
      </c>
      <c r="B4" t="inlineStr">
        <is>
          <t>2026-05-05</t>
        </is>
      </c>
      <c r="C4">
        <f>TEXT(DATEVALUE(B4),"yyyy-mm")</f>
        <v/>
      </c>
      <c r="D4" t="inlineStr">
        <is>
          <t>North</t>
        </is>
      </c>
      <c r="E4" t="inlineStr">
        <is>
          <t>Training</t>
        </is>
      </c>
      <c r="F4" t="n">
        <v>3</v>
      </c>
      <c r="G4" t="n">
        <v>799</v>
      </c>
      <c r="H4">
        <f>F4*G4</f>
        <v/>
      </c>
      <c r="I4" t="inlineStr">
        <is>
          <t>Partner</t>
        </is>
      </c>
    </row>
    <row r="5">
      <c r="A5" t="inlineStr">
        <is>
          <t>SO-10003</t>
        </is>
      </c>
      <c r="B5" t="inlineStr">
        <is>
          <t>2026-03-20</t>
        </is>
      </c>
      <c r="C5">
        <f>TEXT(DATEVALUE(B5),"yyyy-mm")</f>
        <v/>
      </c>
      <c r="D5" t="inlineStr">
        <is>
          <t>North</t>
        </is>
      </c>
      <c r="E5" t="inlineStr">
        <is>
          <t>Hardware</t>
        </is>
      </c>
      <c r="F5" t="n">
        <v>1</v>
      </c>
      <c r="G5" t="n">
        <v>799</v>
      </c>
      <c r="H5">
        <f>F5*G5</f>
        <v/>
      </c>
      <c r="I5" t="inlineStr">
        <is>
          <t>Web</t>
        </is>
      </c>
    </row>
    <row r="6">
      <c r="A6" t="inlineStr">
        <is>
          <t>SO-10004</t>
        </is>
      </c>
      <c r="B6" t="inlineStr">
        <is>
          <t>2026-04-08</t>
        </is>
      </c>
      <c r="C6">
        <f>TEXT(DATEVALUE(B6),"yyyy-mm")</f>
        <v/>
      </c>
      <c r="D6" t="inlineStr">
        <is>
          <t>West</t>
        </is>
      </c>
      <c r="E6" t="inlineStr">
        <is>
          <t>Services</t>
        </is>
      </c>
      <c r="F6" t="n">
        <v>20</v>
      </c>
      <c r="G6" t="n">
        <v>49</v>
      </c>
      <c r="H6">
        <f>F6*G6</f>
        <v/>
      </c>
      <c r="I6" t="inlineStr">
        <is>
          <t>Partner</t>
        </is>
      </c>
    </row>
    <row r="7">
      <c r="A7" t="inlineStr">
        <is>
          <t>SO-10005</t>
        </is>
      </c>
      <c r="B7" t="inlineStr">
        <is>
          <t>2026-04-17</t>
        </is>
      </c>
      <c r="C7">
        <f>TEXT(DATEVALUE(B7),"yyyy-mm")</f>
        <v/>
      </c>
      <c r="D7" t="inlineStr">
        <is>
          <t>West</t>
        </is>
      </c>
      <c r="E7" t="inlineStr">
        <is>
          <t>Hardware</t>
        </is>
      </c>
      <c r="F7" t="n">
        <v>8</v>
      </c>
      <c r="G7" t="n">
        <v>199</v>
      </c>
      <c r="H7">
        <f>F7*G7</f>
        <v/>
      </c>
      <c r="I7" t="inlineStr">
        <is>
          <t>Direct</t>
        </is>
      </c>
    </row>
    <row r="8">
      <c r="A8" t="inlineStr">
        <is>
          <t>SO-10006</t>
        </is>
      </c>
      <c r="B8" t="inlineStr">
        <is>
          <t>2026-02-15</t>
        </is>
      </c>
      <c r="C8">
        <f>TEXT(DATEVALUE(B8),"yyyy-mm")</f>
        <v/>
      </c>
      <c r="D8" t="inlineStr">
        <is>
          <t>West</t>
        </is>
      </c>
      <c r="E8" t="inlineStr">
        <is>
          <t>Hardware</t>
        </is>
      </c>
      <c r="F8" t="n">
        <v>21</v>
      </c>
      <c r="G8" t="n">
        <v>199</v>
      </c>
      <c r="H8">
        <f>F8*G8</f>
        <v/>
      </c>
      <c r="I8" t="inlineStr">
        <is>
          <t>Direct</t>
        </is>
      </c>
    </row>
    <row r="9">
      <c r="A9" t="inlineStr">
        <is>
          <t>SO-10007</t>
        </is>
      </c>
      <c r="B9" t="inlineStr">
        <is>
          <t>2026-05-11</t>
        </is>
      </c>
      <c r="C9">
        <f>TEXT(DATEVALUE(B9),"yyyy-mm")</f>
        <v/>
      </c>
      <c r="D9" t="inlineStr">
        <is>
          <t>East</t>
        </is>
      </c>
      <c r="E9" t="inlineStr">
        <is>
          <t>Hardware</t>
        </is>
      </c>
      <c r="F9" t="n">
        <v>25</v>
      </c>
      <c r="G9" t="n">
        <v>99</v>
      </c>
      <c r="H9">
        <f>F9*G9</f>
        <v/>
      </c>
      <c r="I9" t="inlineStr">
        <is>
          <t>Web</t>
        </is>
      </c>
    </row>
    <row r="10">
      <c r="A10" t="inlineStr">
        <is>
          <t>SO-10008</t>
        </is>
      </c>
      <c r="B10" t="inlineStr">
        <is>
          <t>2026-02-13</t>
        </is>
      </c>
      <c r="C10">
        <f>TEXT(DATEVALUE(B10),"yyyy-mm")</f>
        <v/>
      </c>
      <c r="D10" t="inlineStr">
        <is>
          <t>West</t>
        </is>
      </c>
      <c r="E10" t="inlineStr">
        <is>
          <t>Hardware</t>
        </is>
      </c>
      <c r="F10" t="n">
        <v>4</v>
      </c>
      <c r="G10" t="n">
        <v>199</v>
      </c>
      <c r="H10">
        <f>F10*G10</f>
        <v/>
      </c>
      <c r="I10" t="inlineStr">
        <is>
          <t>Web</t>
        </is>
      </c>
    </row>
    <row r="11">
      <c r="A11" t="inlineStr">
        <is>
          <t>SO-10009</t>
        </is>
      </c>
      <c r="B11" t="inlineStr">
        <is>
          <t>2026-01-07</t>
        </is>
      </c>
      <c r="C11">
        <f>TEXT(DATEVALUE(B11),"yyyy-mm")</f>
        <v/>
      </c>
      <c r="D11" t="inlineStr">
        <is>
          <t>West</t>
        </is>
      </c>
      <c r="E11" t="inlineStr">
        <is>
          <t>Training</t>
        </is>
      </c>
      <c r="F11" t="n">
        <v>7</v>
      </c>
      <c r="G11" t="n">
        <v>49</v>
      </c>
      <c r="H11">
        <f>F11*G11</f>
        <v/>
      </c>
      <c r="I11" t="inlineStr">
        <is>
          <t>Direct</t>
        </is>
      </c>
    </row>
    <row r="12">
      <c r="A12" t="inlineStr">
        <is>
          <t>SO-10010</t>
        </is>
      </c>
      <c r="B12" t="inlineStr">
        <is>
          <t>2026-07-14</t>
        </is>
      </c>
      <c r="C12">
        <f>TEXT(DATEVALUE(B12),"yyyy-mm")</f>
        <v/>
      </c>
      <c r="D12" t="inlineStr">
        <is>
          <t>South</t>
        </is>
      </c>
      <c r="E12" t="inlineStr">
        <is>
          <t>Services</t>
        </is>
      </c>
      <c r="F12" t="n">
        <v>3</v>
      </c>
      <c r="G12" t="n">
        <v>799</v>
      </c>
      <c r="H12">
        <f>F12*G12</f>
        <v/>
      </c>
      <c r="I12" t="inlineStr">
        <is>
          <t>Partner</t>
        </is>
      </c>
    </row>
    <row r="13">
      <c r="A13" t="inlineStr">
        <is>
          <t>SO-10011</t>
        </is>
      </c>
      <c r="B13" t="inlineStr">
        <is>
          <t>2026-02-10</t>
        </is>
      </c>
      <c r="C13">
        <f>TEXT(DATEVALUE(B13),"yyyy-mm")</f>
        <v/>
      </c>
      <c r="D13" t="inlineStr">
        <is>
          <t>West</t>
        </is>
      </c>
      <c r="E13" t="inlineStr">
        <is>
          <t>Hardware</t>
        </is>
      </c>
      <c r="F13" t="n">
        <v>11</v>
      </c>
      <c r="G13" t="n">
        <v>49</v>
      </c>
      <c r="H13">
        <f>F13*G13</f>
        <v/>
      </c>
      <c r="I13" t="inlineStr">
        <is>
          <t>Web</t>
        </is>
      </c>
    </row>
    <row r="14">
      <c r="A14" t="inlineStr">
        <is>
          <t>SO-10012</t>
        </is>
      </c>
      <c r="B14" t="inlineStr">
        <is>
          <t>2026-04-23</t>
        </is>
      </c>
      <c r="C14">
        <f>TEXT(DATEVALUE(B14),"yyyy-mm")</f>
        <v/>
      </c>
      <c r="D14" t="inlineStr">
        <is>
          <t>North</t>
        </is>
      </c>
      <c r="E14" t="inlineStr">
        <is>
          <t>Training</t>
        </is>
      </c>
      <c r="F14" t="n">
        <v>4</v>
      </c>
      <c r="G14" t="n">
        <v>49</v>
      </c>
      <c r="H14">
        <f>F14*G14</f>
        <v/>
      </c>
      <c r="I14" t="inlineStr">
        <is>
          <t>Partner</t>
        </is>
      </c>
    </row>
    <row r="15">
      <c r="A15" t="inlineStr">
        <is>
          <t>SO-10013</t>
        </is>
      </c>
      <c r="B15" t="inlineStr">
        <is>
          <t>2026-03-22</t>
        </is>
      </c>
      <c r="C15">
        <f>TEXT(DATEVALUE(B15),"yyyy-mm")</f>
        <v/>
      </c>
      <c r="D15" t="inlineStr">
        <is>
          <t>West</t>
        </is>
      </c>
      <c r="E15" t="inlineStr">
        <is>
          <t>Software</t>
        </is>
      </c>
      <c r="F15" t="n">
        <v>18</v>
      </c>
      <c r="G15" t="n">
        <v>99</v>
      </c>
      <c r="H15">
        <f>F15*G15</f>
        <v/>
      </c>
      <c r="I15" t="inlineStr">
        <is>
          <t>Direct</t>
        </is>
      </c>
    </row>
    <row r="16">
      <c r="A16" t="inlineStr">
        <is>
          <t>SO-10014</t>
        </is>
      </c>
      <c r="B16" t="inlineStr">
        <is>
          <t>2026-03-14</t>
        </is>
      </c>
      <c r="C16">
        <f>TEXT(DATEVALUE(B16),"yyyy-mm")</f>
        <v/>
      </c>
      <c r="D16" t="inlineStr">
        <is>
          <t>North</t>
        </is>
      </c>
      <c r="E16" t="inlineStr">
        <is>
          <t>Training</t>
        </is>
      </c>
      <c r="F16" t="n">
        <v>21</v>
      </c>
      <c r="G16" t="n">
        <v>349</v>
      </c>
      <c r="H16">
        <f>F16*G16</f>
        <v/>
      </c>
      <c r="I16" t="inlineStr">
        <is>
          <t>Partner</t>
        </is>
      </c>
    </row>
    <row r="17">
      <c r="A17" t="inlineStr">
        <is>
          <t>SO-10015</t>
        </is>
      </c>
      <c r="B17" t="inlineStr">
        <is>
          <t>2026-04-01</t>
        </is>
      </c>
      <c r="C17">
        <f>TEXT(DATEVALUE(B17),"yyyy-mm")</f>
        <v/>
      </c>
      <c r="D17" t="inlineStr">
        <is>
          <t>East</t>
        </is>
      </c>
      <c r="E17" t="inlineStr">
        <is>
          <t>Hardware</t>
        </is>
      </c>
      <c r="F17" t="n">
        <v>9</v>
      </c>
      <c r="G17" t="n">
        <v>799</v>
      </c>
      <c r="H17">
        <f>F17*G17</f>
        <v/>
      </c>
      <c r="I17" t="inlineStr">
        <is>
          <t>Web</t>
        </is>
      </c>
    </row>
    <row r="18">
      <c r="A18" t="inlineStr">
        <is>
          <t>SO-10016</t>
        </is>
      </c>
      <c r="B18" t="inlineStr">
        <is>
          <t>2026-03-13</t>
        </is>
      </c>
      <c r="C18">
        <f>TEXT(DATEVALUE(B18),"yyyy-mm")</f>
        <v/>
      </c>
      <c r="D18" t="inlineStr">
        <is>
          <t>North</t>
        </is>
      </c>
      <c r="E18" t="inlineStr">
        <is>
          <t>Hardware</t>
        </is>
      </c>
      <c r="F18" t="n">
        <v>20</v>
      </c>
      <c r="G18" t="n">
        <v>799</v>
      </c>
      <c r="H18">
        <f>F18*G18</f>
        <v/>
      </c>
      <c r="I18" t="inlineStr">
        <is>
          <t>Web</t>
        </is>
      </c>
    </row>
    <row r="19">
      <c r="A19" t="inlineStr">
        <is>
          <t>SO-10017</t>
        </is>
      </c>
      <c r="B19" t="inlineStr">
        <is>
          <t>2026-04-15</t>
        </is>
      </c>
      <c r="C19">
        <f>TEXT(DATEVALUE(B19),"yyyy-mm")</f>
        <v/>
      </c>
      <c r="D19" t="inlineStr">
        <is>
          <t>East</t>
        </is>
      </c>
      <c r="E19" t="inlineStr">
        <is>
          <t>Services</t>
        </is>
      </c>
      <c r="F19" t="n">
        <v>9</v>
      </c>
      <c r="G19" t="n">
        <v>49</v>
      </c>
      <c r="H19">
        <f>F19*G19</f>
        <v/>
      </c>
      <c r="I19" t="inlineStr">
        <is>
          <t>Partner</t>
        </is>
      </c>
    </row>
    <row r="20">
      <c r="A20" t="inlineStr">
        <is>
          <t>SO-10018</t>
        </is>
      </c>
      <c r="B20" t="inlineStr">
        <is>
          <t>2026-02-03</t>
        </is>
      </c>
      <c r="C20">
        <f>TEXT(DATEVALUE(B20),"yyyy-mm")</f>
        <v/>
      </c>
      <c r="D20" t="inlineStr">
        <is>
          <t>South</t>
        </is>
      </c>
      <c r="E20" t="inlineStr">
        <is>
          <t>Hardware</t>
        </is>
      </c>
      <c r="F20" t="n">
        <v>3</v>
      </c>
      <c r="G20" t="n">
        <v>99</v>
      </c>
      <c r="H20">
        <f>F20*G20</f>
        <v/>
      </c>
      <c r="I20" t="inlineStr">
        <is>
          <t>Direct</t>
        </is>
      </c>
    </row>
    <row r="21">
      <c r="A21" t="inlineStr">
        <is>
          <t>SO-10019</t>
        </is>
      </c>
      <c r="B21" t="inlineStr">
        <is>
          <t>2026-06-12</t>
        </is>
      </c>
      <c r="C21">
        <f>TEXT(DATEVALUE(B21),"yyyy-mm")</f>
        <v/>
      </c>
      <c r="D21" t="inlineStr">
        <is>
          <t>South</t>
        </is>
      </c>
      <c r="E21" t="inlineStr">
        <is>
          <t>Training</t>
        </is>
      </c>
      <c r="F21" t="n">
        <v>20</v>
      </c>
      <c r="G21" t="n">
        <v>349</v>
      </c>
      <c r="H21">
        <f>F21*G21</f>
        <v/>
      </c>
      <c r="I21" t="inlineStr">
        <is>
          <t>Direct</t>
        </is>
      </c>
    </row>
    <row r="22">
      <c r="A22" t="inlineStr">
        <is>
          <t>SO-10020</t>
        </is>
      </c>
      <c r="B22" t="inlineStr">
        <is>
          <t>2026-03-28</t>
        </is>
      </c>
      <c r="C22">
        <f>TEXT(DATEVALUE(B22),"yyyy-mm")</f>
        <v/>
      </c>
      <c r="D22" t="inlineStr">
        <is>
          <t>South</t>
        </is>
      </c>
      <c r="E22" t="inlineStr">
        <is>
          <t>Services</t>
        </is>
      </c>
      <c r="F22" t="n">
        <v>13</v>
      </c>
      <c r="G22" t="n">
        <v>99</v>
      </c>
      <c r="H22">
        <f>F22*G22</f>
        <v/>
      </c>
      <c r="I22" t="inlineStr">
        <is>
          <t>Web</t>
        </is>
      </c>
    </row>
    <row r="23">
      <c r="A23" t="inlineStr">
        <is>
          <t>SO-10021</t>
        </is>
      </c>
      <c r="B23" t="inlineStr">
        <is>
          <t>2026-04-24</t>
        </is>
      </c>
      <c r="C23">
        <f>TEXT(DATEVALUE(B23),"yyyy-mm")</f>
        <v/>
      </c>
      <c r="D23" t="inlineStr">
        <is>
          <t>South</t>
        </is>
      </c>
      <c r="E23" t="inlineStr">
        <is>
          <t>Training</t>
        </is>
      </c>
      <c r="F23" t="n">
        <v>7</v>
      </c>
      <c r="G23" t="n">
        <v>99</v>
      </c>
      <c r="H23">
        <f>F23*G23</f>
        <v/>
      </c>
      <c r="I23" t="inlineStr">
        <is>
          <t>Partner</t>
        </is>
      </c>
    </row>
    <row r="24">
      <c r="A24" t="inlineStr">
        <is>
          <t>SO-10022</t>
        </is>
      </c>
      <c r="B24" t="inlineStr">
        <is>
          <t>2026-02-14</t>
        </is>
      </c>
      <c r="C24">
        <f>TEXT(DATEVALUE(B24),"yyyy-mm")</f>
        <v/>
      </c>
      <c r="D24" t="inlineStr">
        <is>
          <t>North</t>
        </is>
      </c>
      <c r="E24" t="inlineStr">
        <is>
          <t>Hardware</t>
        </is>
      </c>
      <c r="F24" t="n">
        <v>2</v>
      </c>
      <c r="G24" t="n">
        <v>49</v>
      </c>
      <c r="H24">
        <f>F24*G24</f>
        <v/>
      </c>
      <c r="I24" t="inlineStr">
        <is>
          <t>Direct</t>
        </is>
      </c>
    </row>
    <row r="25">
      <c r="A25" t="inlineStr">
        <is>
          <t>SO-10023</t>
        </is>
      </c>
      <c r="B25" t="inlineStr">
        <is>
          <t>2026-05-08</t>
        </is>
      </c>
      <c r="C25">
        <f>TEXT(DATEVALUE(B25),"yyyy-mm")</f>
        <v/>
      </c>
      <c r="D25" t="inlineStr">
        <is>
          <t>East</t>
        </is>
      </c>
      <c r="E25" t="inlineStr">
        <is>
          <t>Training</t>
        </is>
      </c>
      <c r="F25" t="n">
        <v>24</v>
      </c>
      <c r="G25" t="n">
        <v>349</v>
      </c>
      <c r="H25">
        <f>F25*G25</f>
        <v/>
      </c>
      <c r="I25" t="inlineStr">
        <is>
          <t>Direct</t>
        </is>
      </c>
    </row>
    <row r="26">
      <c r="A26" t="inlineStr">
        <is>
          <t>SO-10024</t>
        </is>
      </c>
      <c r="B26" t="inlineStr">
        <is>
          <t>2026-08-10</t>
        </is>
      </c>
      <c r="C26">
        <f>TEXT(DATEVALUE(B26),"yyyy-mm")</f>
        <v/>
      </c>
      <c r="D26" t="inlineStr">
        <is>
          <t>North</t>
        </is>
      </c>
      <c r="E26" t="inlineStr">
        <is>
          <t>Software</t>
        </is>
      </c>
      <c r="F26" t="n">
        <v>17</v>
      </c>
      <c r="G26" t="n">
        <v>99</v>
      </c>
      <c r="H26">
        <f>F26*G26</f>
        <v/>
      </c>
      <c r="I26" t="inlineStr">
        <is>
          <t>Web</t>
        </is>
      </c>
    </row>
    <row r="27">
      <c r="A27" t="inlineStr">
        <is>
          <t>SO-10025</t>
        </is>
      </c>
      <c r="B27" t="inlineStr">
        <is>
          <t>2026-08-18</t>
        </is>
      </c>
      <c r="C27">
        <f>TEXT(DATEVALUE(B27),"yyyy-mm")</f>
        <v/>
      </c>
      <c r="D27" t="inlineStr">
        <is>
          <t>North</t>
        </is>
      </c>
      <c r="E27" t="inlineStr">
        <is>
          <t>Services</t>
        </is>
      </c>
      <c r="F27" t="n">
        <v>21</v>
      </c>
      <c r="G27" t="n">
        <v>799</v>
      </c>
      <c r="H27">
        <f>F27*G27</f>
        <v/>
      </c>
      <c r="I27" t="inlineStr">
        <is>
          <t>Web</t>
        </is>
      </c>
    </row>
    <row r="28">
      <c r="A28" t="inlineStr">
        <is>
          <t>SO-10026</t>
        </is>
      </c>
      <c r="B28" t="inlineStr">
        <is>
          <t>2026-04-24</t>
        </is>
      </c>
      <c r="C28">
        <f>TEXT(DATEVALUE(B28),"yyyy-mm")</f>
        <v/>
      </c>
      <c r="D28" t="inlineStr">
        <is>
          <t>East</t>
        </is>
      </c>
      <c r="E28" t="inlineStr">
        <is>
          <t>Training</t>
        </is>
      </c>
      <c r="F28" t="n">
        <v>1</v>
      </c>
      <c r="G28" t="n">
        <v>49</v>
      </c>
      <c r="H28">
        <f>F28*G28</f>
        <v/>
      </c>
      <c r="I28" t="inlineStr">
        <is>
          <t>Partner</t>
        </is>
      </c>
    </row>
    <row r="29">
      <c r="A29" t="inlineStr">
        <is>
          <t>SO-10027</t>
        </is>
      </c>
      <c r="B29" t="inlineStr">
        <is>
          <t>2026-04-02</t>
        </is>
      </c>
      <c r="C29">
        <f>TEXT(DATEVALUE(B29),"yyyy-mm")</f>
        <v/>
      </c>
      <c r="D29" t="inlineStr">
        <is>
          <t>East</t>
        </is>
      </c>
      <c r="E29" t="inlineStr">
        <is>
          <t>Services</t>
        </is>
      </c>
      <c r="F29" t="n">
        <v>2</v>
      </c>
      <c r="G29" t="n">
        <v>99</v>
      </c>
      <c r="H29">
        <f>F29*G29</f>
        <v/>
      </c>
      <c r="I29" t="inlineStr">
        <is>
          <t>Direct</t>
        </is>
      </c>
    </row>
    <row r="30">
      <c r="A30" t="inlineStr">
        <is>
          <t>SO-10028</t>
        </is>
      </c>
      <c r="B30" t="inlineStr">
        <is>
          <t>2026-03-03</t>
        </is>
      </c>
      <c r="C30">
        <f>TEXT(DATEVALUE(B30),"yyyy-mm")</f>
        <v/>
      </c>
      <c r="D30" t="inlineStr">
        <is>
          <t>West</t>
        </is>
      </c>
      <c r="E30" t="inlineStr">
        <is>
          <t>Services</t>
        </is>
      </c>
      <c r="F30" t="n">
        <v>12</v>
      </c>
      <c r="G30" t="n">
        <v>99</v>
      </c>
      <c r="H30">
        <f>F30*G30</f>
        <v/>
      </c>
      <c r="I30" t="inlineStr">
        <is>
          <t>Direct</t>
        </is>
      </c>
    </row>
    <row r="31">
      <c r="A31" t="inlineStr">
        <is>
          <t>SO-10029</t>
        </is>
      </c>
      <c r="B31" t="inlineStr">
        <is>
          <t>2026-09-19</t>
        </is>
      </c>
      <c r="C31">
        <f>TEXT(DATEVALUE(B31),"yyyy-mm")</f>
        <v/>
      </c>
      <c r="D31" t="inlineStr">
        <is>
          <t>North</t>
        </is>
      </c>
      <c r="E31" t="inlineStr">
        <is>
          <t>Hardware</t>
        </is>
      </c>
      <c r="F31" t="n">
        <v>5</v>
      </c>
      <c r="G31" t="n">
        <v>799</v>
      </c>
      <c r="H31">
        <f>F31*G31</f>
        <v/>
      </c>
      <c r="I31" t="inlineStr">
        <is>
          <t>Partner</t>
        </is>
      </c>
    </row>
    <row r="32">
      <c r="A32" t="inlineStr">
        <is>
          <t>SO-10030</t>
        </is>
      </c>
      <c r="B32" t="inlineStr">
        <is>
          <t>2026-06-23</t>
        </is>
      </c>
      <c r="C32">
        <f>TEXT(DATEVALUE(B32),"yyyy-mm")</f>
        <v/>
      </c>
      <c r="D32" t="inlineStr">
        <is>
          <t>North</t>
        </is>
      </c>
      <c r="E32" t="inlineStr">
        <is>
          <t>Hardware</t>
        </is>
      </c>
      <c r="F32" t="n">
        <v>10</v>
      </c>
      <c r="G32" t="n">
        <v>49</v>
      </c>
      <c r="H32">
        <f>F32*G32</f>
        <v/>
      </c>
      <c r="I32" t="inlineStr">
        <is>
          <t>Partner</t>
        </is>
      </c>
    </row>
    <row r="33">
      <c r="A33" t="inlineStr">
        <is>
          <t>SO-10031</t>
        </is>
      </c>
      <c r="B33" t="inlineStr">
        <is>
          <t>2026-02-24</t>
        </is>
      </c>
      <c r="C33">
        <f>TEXT(DATEVALUE(B33),"yyyy-mm")</f>
        <v/>
      </c>
      <c r="D33" t="inlineStr">
        <is>
          <t>South</t>
        </is>
      </c>
      <c r="E33" t="inlineStr">
        <is>
          <t>Hardware</t>
        </is>
      </c>
      <c r="F33" t="n">
        <v>10</v>
      </c>
      <c r="G33" t="n">
        <v>199</v>
      </c>
      <c r="H33">
        <f>F33*G33</f>
        <v/>
      </c>
      <c r="I33" t="inlineStr">
        <is>
          <t>Web</t>
        </is>
      </c>
    </row>
    <row r="34">
      <c r="A34" t="inlineStr">
        <is>
          <t>SO-10032</t>
        </is>
      </c>
      <c r="B34" t="inlineStr">
        <is>
          <t>2026-08-18</t>
        </is>
      </c>
      <c r="C34">
        <f>TEXT(DATEVALUE(B34),"yyyy-mm")</f>
        <v/>
      </c>
      <c r="D34" t="inlineStr">
        <is>
          <t>South</t>
        </is>
      </c>
      <c r="E34" t="inlineStr">
        <is>
          <t>Services</t>
        </is>
      </c>
      <c r="F34" t="n">
        <v>12</v>
      </c>
      <c r="G34" t="n">
        <v>49</v>
      </c>
      <c r="H34">
        <f>F34*G34</f>
        <v/>
      </c>
      <c r="I34" t="inlineStr">
        <is>
          <t>Partner</t>
        </is>
      </c>
    </row>
    <row r="35">
      <c r="A35" t="inlineStr">
        <is>
          <t>SO-10033</t>
        </is>
      </c>
      <c r="B35" t="inlineStr">
        <is>
          <t>2026-02-22</t>
        </is>
      </c>
      <c r="C35">
        <f>TEXT(DATEVALUE(B35),"yyyy-mm")</f>
        <v/>
      </c>
      <c r="D35" t="inlineStr">
        <is>
          <t>West</t>
        </is>
      </c>
      <c r="E35" t="inlineStr">
        <is>
          <t>Hardware</t>
        </is>
      </c>
      <c r="F35" t="n">
        <v>16</v>
      </c>
      <c r="G35" t="n">
        <v>49</v>
      </c>
      <c r="H35">
        <f>F35*G35</f>
        <v/>
      </c>
      <c r="I35" t="inlineStr">
        <is>
          <t>Partner</t>
        </is>
      </c>
    </row>
    <row r="36">
      <c r="A36" t="inlineStr">
        <is>
          <t>SO-10034</t>
        </is>
      </c>
      <c r="B36" t="inlineStr">
        <is>
          <t>2026-01-20</t>
        </is>
      </c>
      <c r="C36">
        <f>TEXT(DATEVALUE(B36),"yyyy-mm")</f>
        <v/>
      </c>
      <c r="D36" t="inlineStr">
        <is>
          <t>West</t>
        </is>
      </c>
      <c r="E36" t="inlineStr">
        <is>
          <t>Hardware</t>
        </is>
      </c>
      <c r="F36" t="n">
        <v>22</v>
      </c>
      <c r="G36" t="n">
        <v>349</v>
      </c>
      <c r="H36">
        <f>F36*G36</f>
        <v/>
      </c>
      <c r="I36" t="inlineStr">
        <is>
          <t>Direct</t>
        </is>
      </c>
    </row>
    <row r="37">
      <c r="A37" t="inlineStr">
        <is>
          <t>SO-10035</t>
        </is>
      </c>
      <c r="B37" t="inlineStr">
        <is>
          <t>2026-02-03</t>
        </is>
      </c>
      <c r="C37">
        <f>TEXT(DATEVALUE(B37),"yyyy-mm")</f>
        <v/>
      </c>
      <c r="D37" t="inlineStr">
        <is>
          <t>East</t>
        </is>
      </c>
      <c r="E37" t="inlineStr">
        <is>
          <t>Training</t>
        </is>
      </c>
      <c r="F37" t="n">
        <v>3</v>
      </c>
      <c r="G37" t="n">
        <v>49</v>
      </c>
      <c r="H37">
        <f>F37*G37</f>
        <v/>
      </c>
      <c r="I37" t="inlineStr">
        <is>
          <t>Direct</t>
        </is>
      </c>
    </row>
    <row r="38">
      <c r="A38" t="inlineStr">
        <is>
          <t>SO-10036</t>
        </is>
      </c>
      <c r="B38" t="inlineStr">
        <is>
          <t>2026-06-13</t>
        </is>
      </c>
      <c r="C38">
        <f>TEXT(DATEVALUE(B38),"yyyy-mm")</f>
        <v/>
      </c>
      <c r="D38" t="inlineStr">
        <is>
          <t>West</t>
        </is>
      </c>
      <c r="E38" t="inlineStr">
        <is>
          <t>Training</t>
        </is>
      </c>
      <c r="F38" t="n">
        <v>24</v>
      </c>
      <c r="G38" t="n">
        <v>799</v>
      </c>
      <c r="H38">
        <f>F38*G38</f>
        <v/>
      </c>
      <c r="I38" t="inlineStr">
        <is>
          <t>Partner</t>
        </is>
      </c>
    </row>
    <row r="39">
      <c r="A39" t="inlineStr">
        <is>
          <t>SO-10037</t>
        </is>
      </c>
      <c r="B39" t="inlineStr">
        <is>
          <t>2026-09-03</t>
        </is>
      </c>
      <c r="C39">
        <f>TEXT(DATEVALUE(B39),"yyyy-mm")</f>
        <v/>
      </c>
      <c r="D39" t="inlineStr">
        <is>
          <t>North</t>
        </is>
      </c>
      <c r="E39" t="inlineStr">
        <is>
          <t>Services</t>
        </is>
      </c>
      <c r="F39" t="n">
        <v>17</v>
      </c>
      <c r="G39" t="n">
        <v>799</v>
      </c>
      <c r="H39">
        <f>F39*G39</f>
        <v/>
      </c>
      <c r="I39" t="inlineStr">
        <is>
          <t>Direct</t>
        </is>
      </c>
    </row>
    <row r="40">
      <c r="A40" t="inlineStr">
        <is>
          <t>SO-10038</t>
        </is>
      </c>
      <c r="B40" t="inlineStr">
        <is>
          <t>2026-02-16</t>
        </is>
      </c>
      <c r="C40">
        <f>TEXT(DATEVALUE(B40),"yyyy-mm")</f>
        <v/>
      </c>
      <c r="D40" t="inlineStr">
        <is>
          <t>North</t>
        </is>
      </c>
      <c r="E40" t="inlineStr">
        <is>
          <t>Training</t>
        </is>
      </c>
      <c r="F40" t="n">
        <v>1</v>
      </c>
      <c r="G40" t="n">
        <v>99</v>
      </c>
      <c r="H40">
        <f>F40*G40</f>
        <v/>
      </c>
      <c r="I40" t="inlineStr">
        <is>
          <t>Direct</t>
        </is>
      </c>
    </row>
    <row r="41">
      <c r="A41" t="inlineStr">
        <is>
          <t>SO-10039</t>
        </is>
      </c>
      <c r="B41" t="inlineStr">
        <is>
          <t>2026-08-09</t>
        </is>
      </c>
      <c r="C41">
        <f>TEXT(DATEVALUE(B41),"yyyy-mm")</f>
        <v/>
      </c>
      <c r="D41" t="inlineStr">
        <is>
          <t>East</t>
        </is>
      </c>
      <c r="E41" t="inlineStr">
        <is>
          <t>Software</t>
        </is>
      </c>
      <c r="F41" t="n">
        <v>1</v>
      </c>
      <c r="G41" t="n">
        <v>199</v>
      </c>
      <c r="H41">
        <f>F41*G41</f>
        <v/>
      </c>
      <c r="I41" t="inlineStr">
        <is>
          <t>Direct</t>
        </is>
      </c>
    </row>
    <row r="42">
      <c r="A42" t="inlineStr">
        <is>
          <t>SO-10040</t>
        </is>
      </c>
      <c r="B42" t="inlineStr">
        <is>
          <t>2026-04-17</t>
        </is>
      </c>
      <c r="C42">
        <f>TEXT(DATEVALUE(B42),"yyyy-mm")</f>
        <v/>
      </c>
      <c r="D42" t="inlineStr">
        <is>
          <t>West</t>
        </is>
      </c>
      <c r="E42" t="inlineStr">
        <is>
          <t>Training</t>
        </is>
      </c>
      <c r="F42" t="n">
        <v>6</v>
      </c>
      <c r="G42" t="n">
        <v>199</v>
      </c>
      <c r="H42">
        <f>F42*G42</f>
        <v/>
      </c>
      <c r="I42" t="inlineStr">
        <is>
          <t>Web</t>
        </is>
      </c>
    </row>
    <row r="43">
      <c r="A43" t="inlineStr">
        <is>
          <t>SO-10041</t>
        </is>
      </c>
      <c r="B43" t="inlineStr">
        <is>
          <t>2026-06-13</t>
        </is>
      </c>
      <c r="C43">
        <f>TEXT(DATEVALUE(B43),"yyyy-mm")</f>
        <v/>
      </c>
      <c r="D43" t="inlineStr">
        <is>
          <t>South</t>
        </is>
      </c>
      <c r="E43" t="inlineStr">
        <is>
          <t>Training</t>
        </is>
      </c>
      <c r="F43" t="n">
        <v>22</v>
      </c>
      <c r="G43" t="n">
        <v>199</v>
      </c>
      <c r="H43">
        <f>F43*G43</f>
        <v/>
      </c>
      <c r="I43" t="inlineStr">
        <is>
          <t>Web</t>
        </is>
      </c>
    </row>
    <row r="44">
      <c r="A44" t="inlineStr">
        <is>
          <t>SO-10042</t>
        </is>
      </c>
      <c r="B44" t="inlineStr">
        <is>
          <t>2026-04-13</t>
        </is>
      </c>
      <c r="C44">
        <f>TEXT(DATEVALUE(B44),"yyyy-mm")</f>
        <v/>
      </c>
      <c r="D44" t="inlineStr">
        <is>
          <t>East</t>
        </is>
      </c>
      <c r="E44" t="inlineStr">
        <is>
          <t>Software</t>
        </is>
      </c>
      <c r="F44" t="n">
        <v>8</v>
      </c>
      <c r="G44" t="n">
        <v>799</v>
      </c>
      <c r="H44">
        <f>F44*G44</f>
        <v/>
      </c>
      <c r="I44" t="inlineStr">
        <is>
          <t>Web</t>
        </is>
      </c>
    </row>
    <row r="45">
      <c r="A45" t="inlineStr">
        <is>
          <t>SO-10043</t>
        </is>
      </c>
      <c r="B45" t="inlineStr">
        <is>
          <t>2026-03-16</t>
        </is>
      </c>
      <c r="C45">
        <f>TEXT(DATEVALUE(B45),"yyyy-mm")</f>
        <v/>
      </c>
      <c r="D45" t="inlineStr">
        <is>
          <t>North</t>
        </is>
      </c>
      <c r="E45" t="inlineStr">
        <is>
          <t>Services</t>
        </is>
      </c>
      <c r="F45" t="n">
        <v>12</v>
      </c>
      <c r="G45" t="n">
        <v>49</v>
      </c>
      <c r="H45">
        <f>F45*G45</f>
        <v/>
      </c>
      <c r="I45" t="inlineStr">
        <is>
          <t>Web</t>
        </is>
      </c>
    </row>
    <row r="46">
      <c r="A46" t="inlineStr">
        <is>
          <t>SO-10044</t>
        </is>
      </c>
      <c r="B46" t="inlineStr">
        <is>
          <t>2026-02-15</t>
        </is>
      </c>
      <c r="C46">
        <f>TEXT(DATEVALUE(B46),"yyyy-mm")</f>
        <v/>
      </c>
      <c r="D46" t="inlineStr">
        <is>
          <t>South</t>
        </is>
      </c>
      <c r="E46" t="inlineStr">
        <is>
          <t>Training</t>
        </is>
      </c>
      <c r="F46" t="n">
        <v>16</v>
      </c>
      <c r="G46" t="n">
        <v>199</v>
      </c>
      <c r="H46">
        <f>F46*G46</f>
        <v/>
      </c>
      <c r="I46" t="inlineStr">
        <is>
          <t>Partner</t>
        </is>
      </c>
    </row>
    <row r="47">
      <c r="A47" t="inlineStr">
        <is>
          <t>SO-10045</t>
        </is>
      </c>
      <c r="B47" t="inlineStr">
        <is>
          <t>2026-09-16</t>
        </is>
      </c>
      <c r="C47">
        <f>TEXT(DATEVALUE(B47),"yyyy-mm")</f>
        <v/>
      </c>
      <c r="D47" t="inlineStr">
        <is>
          <t>West</t>
        </is>
      </c>
      <c r="E47" t="inlineStr">
        <is>
          <t>Services</t>
        </is>
      </c>
      <c r="F47" t="n">
        <v>22</v>
      </c>
      <c r="G47" t="n">
        <v>199</v>
      </c>
      <c r="H47">
        <f>F47*G47</f>
        <v/>
      </c>
      <c r="I47" t="inlineStr">
        <is>
          <t>Web</t>
        </is>
      </c>
    </row>
    <row r="48">
      <c r="A48" t="inlineStr">
        <is>
          <t>SO-10046</t>
        </is>
      </c>
      <c r="B48" t="inlineStr">
        <is>
          <t>2026-01-09</t>
        </is>
      </c>
      <c r="C48">
        <f>TEXT(DATEVALUE(B48),"yyyy-mm")</f>
        <v/>
      </c>
      <c r="D48" t="inlineStr">
        <is>
          <t>East</t>
        </is>
      </c>
      <c r="E48" t="inlineStr">
        <is>
          <t>Services</t>
        </is>
      </c>
      <c r="F48" t="n">
        <v>20</v>
      </c>
      <c r="G48" t="n">
        <v>49</v>
      </c>
      <c r="H48">
        <f>F48*G48</f>
        <v/>
      </c>
      <c r="I48" t="inlineStr">
        <is>
          <t>Partner</t>
        </is>
      </c>
    </row>
    <row r="49">
      <c r="A49" t="inlineStr">
        <is>
          <t>SO-10047</t>
        </is>
      </c>
      <c r="B49" t="inlineStr">
        <is>
          <t>2026-01-21</t>
        </is>
      </c>
      <c r="C49">
        <f>TEXT(DATEVALUE(B49),"yyyy-mm")</f>
        <v/>
      </c>
      <c r="D49" t="inlineStr">
        <is>
          <t>West</t>
        </is>
      </c>
      <c r="E49" t="inlineStr">
        <is>
          <t>Software</t>
        </is>
      </c>
      <c r="F49" t="n">
        <v>5</v>
      </c>
      <c r="G49" t="n">
        <v>349</v>
      </c>
      <c r="H49">
        <f>F49*G49</f>
        <v/>
      </c>
      <c r="I49" t="inlineStr">
        <is>
          <t>Web</t>
        </is>
      </c>
    </row>
    <row r="50">
      <c r="A50" t="inlineStr">
        <is>
          <t>SO-10048</t>
        </is>
      </c>
      <c r="B50" t="inlineStr">
        <is>
          <t>2026-05-08</t>
        </is>
      </c>
      <c r="C50">
        <f>TEXT(DATEVALUE(B50),"yyyy-mm")</f>
        <v/>
      </c>
      <c r="D50" t="inlineStr">
        <is>
          <t>North</t>
        </is>
      </c>
      <c r="E50" t="inlineStr">
        <is>
          <t>Hardware</t>
        </is>
      </c>
      <c r="F50" t="n">
        <v>25</v>
      </c>
      <c r="G50" t="n">
        <v>99</v>
      </c>
      <c r="H50">
        <f>F50*G50</f>
        <v/>
      </c>
      <c r="I50" t="inlineStr">
        <is>
          <t>Partner</t>
        </is>
      </c>
    </row>
    <row r="51">
      <c r="A51" t="inlineStr">
        <is>
          <t>SO-10049</t>
        </is>
      </c>
      <c r="B51" t="inlineStr">
        <is>
          <t>2026-02-21</t>
        </is>
      </c>
      <c r="C51">
        <f>TEXT(DATEVALUE(B51),"yyyy-mm")</f>
        <v/>
      </c>
      <c r="D51" t="inlineStr">
        <is>
          <t>North</t>
        </is>
      </c>
      <c r="E51" t="inlineStr">
        <is>
          <t>Software</t>
        </is>
      </c>
      <c r="F51" t="n">
        <v>18</v>
      </c>
      <c r="G51" t="n">
        <v>199</v>
      </c>
      <c r="H51">
        <f>F51*G51</f>
        <v/>
      </c>
      <c r="I51" t="inlineStr">
        <is>
          <t>Web</t>
        </is>
      </c>
    </row>
    <row r="52">
      <c r="A52" t="inlineStr">
        <is>
          <t>SO-10050</t>
        </is>
      </c>
      <c r="B52" t="inlineStr">
        <is>
          <t>2026-08-09</t>
        </is>
      </c>
      <c r="C52">
        <f>TEXT(DATEVALUE(B52),"yyyy-mm")</f>
        <v/>
      </c>
      <c r="D52" t="inlineStr">
        <is>
          <t>West</t>
        </is>
      </c>
      <c r="E52" t="inlineStr">
        <is>
          <t>Hardware</t>
        </is>
      </c>
      <c r="F52" t="n">
        <v>6</v>
      </c>
      <c r="G52" t="n">
        <v>49</v>
      </c>
      <c r="H52">
        <f>F52*G52</f>
        <v/>
      </c>
      <c r="I52" t="inlineStr">
        <is>
          <t>Web</t>
        </is>
      </c>
    </row>
    <row r="53">
      <c r="A53" t="inlineStr">
        <is>
          <t>SO-10051</t>
        </is>
      </c>
      <c r="B53" t="inlineStr">
        <is>
          <t>2026-04-09</t>
        </is>
      </c>
      <c r="C53">
        <f>TEXT(DATEVALUE(B53),"yyyy-mm")</f>
        <v/>
      </c>
      <c r="D53" t="inlineStr">
        <is>
          <t>South</t>
        </is>
      </c>
      <c r="E53" t="inlineStr">
        <is>
          <t>Training</t>
        </is>
      </c>
      <c r="F53" t="n">
        <v>25</v>
      </c>
      <c r="G53" t="n">
        <v>199</v>
      </c>
      <c r="H53">
        <f>F53*G53</f>
        <v/>
      </c>
      <c r="I53" t="inlineStr">
        <is>
          <t>Direct</t>
        </is>
      </c>
    </row>
    <row r="54">
      <c r="A54" t="inlineStr">
        <is>
          <t>SO-10052</t>
        </is>
      </c>
      <c r="B54" t="inlineStr">
        <is>
          <t>2026-04-03</t>
        </is>
      </c>
      <c r="C54">
        <f>TEXT(DATEVALUE(B54),"yyyy-mm")</f>
        <v/>
      </c>
      <c r="D54" t="inlineStr">
        <is>
          <t>South</t>
        </is>
      </c>
      <c r="E54" t="inlineStr">
        <is>
          <t>Training</t>
        </is>
      </c>
      <c r="F54" t="n">
        <v>14</v>
      </c>
      <c r="G54" t="n">
        <v>349</v>
      </c>
      <c r="H54">
        <f>F54*G54</f>
        <v/>
      </c>
      <c r="I54" t="inlineStr">
        <is>
          <t>Partner</t>
        </is>
      </c>
    </row>
    <row r="55">
      <c r="A55" t="inlineStr">
        <is>
          <t>SO-10053</t>
        </is>
      </c>
      <c r="B55" t="inlineStr">
        <is>
          <t>2026-04-21</t>
        </is>
      </c>
      <c r="C55">
        <f>TEXT(DATEVALUE(B55),"yyyy-mm")</f>
        <v/>
      </c>
      <c r="D55" t="inlineStr">
        <is>
          <t>East</t>
        </is>
      </c>
      <c r="E55" t="inlineStr">
        <is>
          <t>Training</t>
        </is>
      </c>
      <c r="F55" t="n">
        <v>1</v>
      </c>
      <c r="G55" t="n">
        <v>349</v>
      </c>
      <c r="H55">
        <f>F55*G55</f>
        <v/>
      </c>
      <c r="I55" t="inlineStr">
        <is>
          <t>Partner</t>
        </is>
      </c>
    </row>
    <row r="56">
      <c r="A56" t="inlineStr">
        <is>
          <t>SO-10054</t>
        </is>
      </c>
      <c r="B56" t="inlineStr">
        <is>
          <t>2026-04-04</t>
        </is>
      </c>
      <c r="C56">
        <f>TEXT(DATEVALUE(B56),"yyyy-mm")</f>
        <v/>
      </c>
      <c r="D56" t="inlineStr">
        <is>
          <t>South</t>
        </is>
      </c>
      <c r="E56" t="inlineStr">
        <is>
          <t>Software</t>
        </is>
      </c>
      <c r="F56" t="n">
        <v>24</v>
      </c>
      <c r="G56" t="n">
        <v>49</v>
      </c>
      <c r="H56">
        <f>F56*G56</f>
        <v/>
      </c>
      <c r="I56" t="inlineStr">
        <is>
          <t>Partner</t>
        </is>
      </c>
    </row>
    <row r="57">
      <c r="A57" t="inlineStr">
        <is>
          <t>SO-10055</t>
        </is>
      </c>
      <c r="B57" t="inlineStr">
        <is>
          <t>2026-02-10</t>
        </is>
      </c>
      <c r="C57">
        <f>TEXT(DATEVALUE(B57),"yyyy-mm")</f>
        <v/>
      </c>
      <c r="D57" t="inlineStr">
        <is>
          <t>East</t>
        </is>
      </c>
      <c r="E57" t="inlineStr">
        <is>
          <t>Hardware</t>
        </is>
      </c>
      <c r="F57" t="n">
        <v>18</v>
      </c>
      <c r="G57" t="n">
        <v>199</v>
      </c>
      <c r="H57">
        <f>F57*G57</f>
        <v/>
      </c>
      <c r="I57" t="inlineStr">
        <is>
          <t>Partner</t>
        </is>
      </c>
    </row>
    <row r="58">
      <c r="A58" t="inlineStr">
        <is>
          <t>SO-10056</t>
        </is>
      </c>
      <c r="B58" t="inlineStr">
        <is>
          <t>2026-09-03</t>
        </is>
      </c>
      <c r="C58">
        <f>TEXT(DATEVALUE(B58),"yyyy-mm")</f>
        <v/>
      </c>
      <c r="D58" t="inlineStr">
        <is>
          <t>East</t>
        </is>
      </c>
      <c r="E58" t="inlineStr">
        <is>
          <t>Training</t>
        </is>
      </c>
      <c r="F58" t="n">
        <v>2</v>
      </c>
      <c r="G58" t="n">
        <v>349</v>
      </c>
      <c r="H58">
        <f>F58*G58</f>
        <v/>
      </c>
      <c r="I58" t="inlineStr">
        <is>
          <t>Partner</t>
        </is>
      </c>
    </row>
    <row r="59">
      <c r="A59" t="inlineStr">
        <is>
          <t>SO-10057</t>
        </is>
      </c>
      <c r="B59" t="inlineStr">
        <is>
          <t>2026-08-01</t>
        </is>
      </c>
      <c r="C59">
        <f>TEXT(DATEVALUE(B59),"yyyy-mm")</f>
        <v/>
      </c>
      <c r="D59" t="inlineStr">
        <is>
          <t>West</t>
        </is>
      </c>
      <c r="E59" t="inlineStr">
        <is>
          <t>Hardware</t>
        </is>
      </c>
      <c r="F59" t="n">
        <v>7</v>
      </c>
      <c r="G59" t="n">
        <v>49</v>
      </c>
      <c r="H59">
        <f>F59*G59</f>
        <v/>
      </c>
      <c r="I59" t="inlineStr">
        <is>
          <t>Web</t>
        </is>
      </c>
    </row>
    <row r="60">
      <c r="A60" t="inlineStr">
        <is>
          <t>SO-10058</t>
        </is>
      </c>
      <c r="B60" t="inlineStr">
        <is>
          <t>2026-09-11</t>
        </is>
      </c>
      <c r="C60">
        <f>TEXT(DATEVALUE(B60),"yyyy-mm")</f>
        <v/>
      </c>
      <c r="D60" t="inlineStr">
        <is>
          <t>West</t>
        </is>
      </c>
      <c r="E60" t="inlineStr">
        <is>
          <t>Software</t>
        </is>
      </c>
      <c r="F60" t="n">
        <v>22</v>
      </c>
      <c r="G60" t="n">
        <v>99</v>
      </c>
      <c r="H60">
        <f>F60*G60</f>
        <v/>
      </c>
      <c r="I60" t="inlineStr">
        <is>
          <t>Direct</t>
        </is>
      </c>
    </row>
    <row r="61">
      <c r="A61" t="inlineStr">
        <is>
          <t>SO-10059</t>
        </is>
      </c>
      <c r="B61" t="inlineStr">
        <is>
          <t>2026-09-27</t>
        </is>
      </c>
      <c r="C61">
        <f>TEXT(DATEVALUE(B61),"yyyy-mm")</f>
        <v/>
      </c>
      <c r="D61" t="inlineStr">
        <is>
          <t>West</t>
        </is>
      </c>
      <c r="E61" t="inlineStr">
        <is>
          <t>Hardware</t>
        </is>
      </c>
      <c r="F61" t="n">
        <v>22</v>
      </c>
      <c r="G61" t="n">
        <v>349</v>
      </c>
      <c r="H61">
        <f>F61*G61</f>
        <v/>
      </c>
      <c r="I61" t="inlineStr">
        <is>
          <t>Web</t>
        </is>
      </c>
    </row>
    <row r="62">
      <c r="A62" t="inlineStr">
        <is>
          <t>SO-10060</t>
        </is>
      </c>
      <c r="B62" t="inlineStr">
        <is>
          <t>2026-08-17</t>
        </is>
      </c>
      <c r="C62">
        <f>TEXT(DATEVALUE(B62),"yyyy-mm")</f>
        <v/>
      </c>
      <c r="D62" t="inlineStr">
        <is>
          <t>South</t>
        </is>
      </c>
      <c r="E62" t="inlineStr">
        <is>
          <t>Services</t>
        </is>
      </c>
      <c r="F62" t="n">
        <v>18</v>
      </c>
      <c r="G62" t="n">
        <v>199</v>
      </c>
      <c r="H62">
        <f>F62*G62</f>
        <v/>
      </c>
      <c r="I62" t="inlineStr">
        <is>
          <t>Partner</t>
        </is>
      </c>
    </row>
    <row r="63">
      <c r="A63" t="inlineStr">
        <is>
          <t>SO-10061</t>
        </is>
      </c>
      <c r="B63" t="inlineStr">
        <is>
          <t>2026-07-28</t>
        </is>
      </c>
      <c r="C63">
        <f>TEXT(DATEVALUE(B63),"yyyy-mm")</f>
        <v/>
      </c>
      <c r="D63" t="inlineStr">
        <is>
          <t>East</t>
        </is>
      </c>
      <c r="E63" t="inlineStr">
        <is>
          <t>Software</t>
        </is>
      </c>
      <c r="F63" t="n">
        <v>20</v>
      </c>
      <c r="G63" t="n">
        <v>99</v>
      </c>
      <c r="H63">
        <f>F63*G63</f>
        <v/>
      </c>
      <c r="I63" t="inlineStr">
        <is>
          <t>Direct</t>
        </is>
      </c>
    </row>
    <row r="64">
      <c r="A64" t="inlineStr">
        <is>
          <t>SO-10062</t>
        </is>
      </c>
      <c r="B64" t="inlineStr">
        <is>
          <t>2026-09-09</t>
        </is>
      </c>
      <c r="C64">
        <f>TEXT(DATEVALUE(B64),"yyyy-mm")</f>
        <v/>
      </c>
      <c r="D64" t="inlineStr">
        <is>
          <t>South</t>
        </is>
      </c>
      <c r="E64" t="inlineStr">
        <is>
          <t>Training</t>
        </is>
      </c>
      <c r="F64" t="n">
        <v>19</v>
      </c>
      <c r="G64" t="n">
        <v>349</v>
      </c>
      <c r="H64">
        <f>F64*G64</f>
        <v/>
      </c>
      <c r="I64" t="inlineStr">
        <is>
          <t>Direct</t>
        </is>
      </c>
    </row>
    <row r="65">
      <c r="A65" t="inlineStr">
        <is>
          <t>SO-10063</t>
        </is>
      </c>
      <c r="B65" t="inlineStr">
        <is>
          <t>2026-02-17</t>
        </is>
      </c>
      <c r="C65">
        <f>TEXT(DATEVALUE(B65),"yyyy-mm")</f>
        <v/>
      </c>
      <c r="D65" t="inlineStr">
        <is>
          <t>West</t>
        </is>
      </c>
      <c r="E65" t="inlineStr">
        <is>
          <t>Hardware</t>
        </is>
      </c>
      <c r="F65" t="n">
        <v>1</v>
      </c>
      <c r="G65" t="n">
        <v>799</v>
      </c>
      <c r="H65">
        <f>F65*G65</f>
        <v/>
      </c>
      <c r="I65" t="inlineStr">
        <is>
          <t>Direct</t>
        </is>
      </c>
    </row>
    <row r="66">
      <c r="A66" t="inlineStr">
        <is>
          <t>SO-10064</t>
        </is>
      </c>
      <c r="B66" t="inlineStr">
        <is>
          <t>2026-01-17</t>
        </is>
      </c>
      <c r="C66">
        <f>TEXT(DATEVALUE(B66),"yyyy-mm")</f>
        <v/>
      </c>
      <c r="D66" t="inlineStr">
        <is>
          <t>North</t>
        </is>
      </c>
      <c r="E66" t="inlineStr">
        <is>
          <t>Training</t>
        </is>
      </c>
      <c r="F66" t="n">
        <v>13</v>
      </c>
      <c r="G66" t="n">
        <v>799</v>
      </c>
      <c r="H66">
        <f>F66*G66</f>
        <v/>
      </c>
      <c r="I66" t="inlineStr">
        <is>
          <t>Web</t>
        </is>
      </c>
    </row>
    <row r="67">
      <c r="A67" t="inlineStr">
        <is>
          <t>SO-10065</t>
        </is>
      </c>
      <c r="B67" t="inlineStr">
        <is>
          <t>2026-03-03</t>
        </is>
      </c>
      <c r="C67">
        <f>TEXT(DATEVALUE(B67),"yyyy-mm")</f>
        <v/>
      </c>
      <c r="D67" t="inlineStr">
        <is>
          <t>West</t>
        </is>
      </c>
      <c r="E67" t="inlineStr">
        <is>
          <t>Training</t>
        </is>
      </c>
      <c r="F67" t="n">
        <v>18</v>
      </c>
      <c r="G67" t="n">
        <v>349</v>
      </c>
      <c r="H67">
        <f>F67*G67</f>
        <v/>
      </c>
      <c r="I67" t="inlineStr">
        <is>
          <t>Partner</t>
        </is>
      </c>
    </row>
    <row r="68">
      <c r="A68" t="inlineStr">
        <is>
          <t>SO-10066</t>
        </is>
      </c>
      <c r="B68" t="inlineStr">
        <is>
          <t>2026-04-16</t>
        </is>
      </c>
      <c r="C68">
        <f>TEXT(DATEVALUE(B68),"yyyy-mm")</f>
        <v/>
      </c>
      <c r="D68" t="inlineStr">
        <is>
          <t>East</t>
        </is>
      </c>
      <c r="E68" t="inlineStr">
        <is>
          <t>Training</t>
        </is>
      </c>
      <c r="F68" t="n">
        <v>16</v>
      </c>
      <c r="G68" t="n">
        <v>99</v>
      </c>
      <c r="H68">
        <f>F68*G68</f>
        <v/>
      </c>
      <c r="I68" t="inlineStr">
        <is>
          <t>Partner</t>
        </is>
      </c>
    </row>
    <row r="69">
      <c r="A69" t="inlineStr">
        <is>
          <t>SO-10067</t>
        </is>
      </c>
      <c r="B69" t="inlineStr">
        <is>
          <t>2026-09-11</t>
        </is>
      </c>
      <c r="C69">
        <f>TEXT(DATEVALUE(B69),"yyyy-mm")</f>
        <v/>
      </c>
      <c r="D69" t="inlineStr">
        <is>
          <t>West</t>
        </is>
      </c>
      <c r="E69" t="inlineStr">
        <is>
          <t>Hardware</t>
        </is>
      </c>
      <c r="F69" t="n">
        <v>4</v>
      </c>
      <c r="G69" t="n">
        <v>99</v>
      </c>
      <c r="H69">
        <f>F69*G69</f>
        <v/>
      </c>
      <c r="I69" t="inlineStr">
        <is>
          <t>Partner</t>
        </is>
      </c>
    </row>
    <row r="70">
      <c r="A70" t="inlineStr">
        <is>
          <t>SO-10068</t>
        </is>
      </c>
      <c r="B70" t="inlineStr">
        <is>
          <t>2026-03-23</t>
        </is>
      </c>
      <c r="C70">
        <f>TEXT(DATEVALUE(B70),"yyyy-mm")</f>
        <v/>
      </c>
      <c r="D70" t="inlineStr">
        <is>
          <t>North</t>
        </is>
      </c>
      <c r="E70" t="inlineStr">
        <is>
          <t>Software</t>
        </is>
      </c>
      <c r="F70" t="n">
        <v>25</v>
      </c>
      <c r="G70" t="n">
        <v>49</v>
      </c>
      <c r="H70">
        <f>F70*G70</f>
        <v/>
      </c>
      <c r="I70" t="inlineStr">
        <is>
          <t>Web</t>
        </is>
      </c>
    </row>
    <row r="71">
      <c r="A71" t="inlineStr">
        <is>
          <t>SO-10069</t>
        </is>
      </c>
      <c r="B71" t="inlineStr">
        <is>
          <t>2026-04-01</t>
        </is>
      </c>
      <c r="C71">
        <f>TEXT(DATEVALUE(B71),"yyyy-mm")</f>
        <v/>
      </c>
      <c r="D71" t="inlineStr">
        <is>
          <t>East</t>
        </is>
      </c>
      <c r="E71" t="inlineStr">
        <is>
          <t>Services</t>
        </is>
      </c>
      <c r="F71" t="n">
        <v>22</v>
      </c>
      <c r="G71" t="n">
        <v>199</v>
      </c>
      <c r="H71">
        <f>F71*G71</f>
        <v/>
      </c>
      <c r="I71" t="inlineStr">
        <is>
          <t>Web</t>
        </is>
      </c>
    </row>
    <row r="72">
      <c r="A72" t="inlineStr">
        <is>
          <t>SO-10070</t>
        </is>
      </c>
      <c r="B72" t="inlineStr">
        <is>
          <t>2026-08-04</t>
        </is>
      </c>
      <c r="C72">
        <f>TEXT(DATEVALUE(B72),"yyyy-mm")</f>
        <v/>
      </c>
      <c r="D72" t="inlineStr">
        <is>
          <t>North</t>
        </is>
      </c>
      <c r="E72" t="inlineStr">
        <is>
          <t>Services</t>
        </is>
      </c>
      <c r="F72" t="n">
        <v>16</v>
      </c>
      <c r="G72" t="n">
        <v>799</v>
      </c>
      <c r="H72">
        <f>F72*G72</f>
        <v/>
      </c>
      <c r="I72" t="inlineStr">
        <is>
          <t>Direct</t>
        </is>
      </c>
    </row>
    <row r="73">
      <c r="A73" t="inlineStr">
        <is>
          <t>SO-10071</t>
        </is>
      </c>
      <c r="B73" t="inlineStr">
        <is>
          <t>2026-04-23</t>
        </is>
      </c>
      <c r="C73">
        <f>TEXT(DATEVALUE(B73),"yyyy-mm")</f>
        <v/>
      </c>
      <c r="D73" t="inlineStr">
        <is>
          <t>North</t>
        </is>
      </c>
      <c r="E73" t="inlineStr">
        <is>
          <t>Training</t>
        </is>
      </c>
      <c r="F73" t="n">
        <v>17</v>
      </c>
      <c r="G73" t="n">
        <v>349</v>
      </c>
      <c r="H73">
        <f>F73*G73</f>
        <v/>
      </c>
      <c r="I73" t="inlineStr">
        <is>
          <t>Direct</t>
        </is>
      </c>
    </row>
    <row r="74">
      <c r="A74" t="inlineStr">
        <is>
          <t>SO-10072</t>
        </is>
      </c>
      <c r="B74" t="inlineStr">
        <is>
          <t>2026-07-27</t>
        </is>
      </c>
      <c r="C74">
        <f>TEXT(DATEVALUE(B74),"yyyy-mm")</f>
        <v/>
      </c>
      <c r="D74" t="inlineStr">
        <is>
          <t>South</t>
        </is>
      </c>
      <c r="E74" t="inlineStr">
        <is>
          <t>Software</t>
        </is>
      </c>
      <c r="F74" t="n">
        <v>17</v>
      </c>
      <c r="G74" t="n">
        <v>799</v>
      </c>
      <c r="H74">
        <f>F74*G74</f>
        <v/>
      </c>
      <c r="I74" t="inlineStr">
        <is>
          <t>Direct</t>
        </is>
      </c>
    </row>
    <row r="75">
      <c r="A75" t="inlineStr">
        <is>
          <t>SO-10073</t>
        </is>
      </c>
      <c r="B75" t="inlineStr">
        <is>
          <t>2026-09-21</t>
        </is>
      </c>
      <c r="C75">
        <f>TEXT(DATEVALUE(B75),"yyyy-mm")</f>
        <v/>
      </c>
      <c r="D75" t="inlineStr">
        <is>
          <t>South</t>
        </is>
      </c>
      <c r="E75" t="inlineStr">
        <is>
          <t>Software</t>
        </is>
      </c>
      <c r="F75" t="n">
        <v>7</v>
      </c>
      <c r="G75" t="n">
        <v>799</v>
      </c>
      <c r="H75">
        <f>F75*G75</f>
        <v/>
      </c>
      <c r="I75" t="inlineStr">
        <is>
          <t>Web</t>
        </is>
      </c>
    </row>
    <row r="76">
      <c r="A76" t="inlineStr">
        <is>
          <t>SO-10074</t>
        </is>
      </c>
      <c r="B76" t="inlineStr">
        <is>
          <t>2026-06-06</t>
        </is>
      </c>
      <c r="C76">
        <f>TEXT(DATEVALUE(B76),"yyyy-mm")</f>
        <v/>
      </c>
      <c r="D76" t="inlineStr">
        <is>
          <t>East</t>
        </is>
      </c>
      <c r="E76" t="inlineStr">
        <is>
          <t>Software</t>
        </is>
      </c>
      <c r="F76" t="n">
        <v>11</v>
      </c>
      <c r="G76" t="n">
        <v>799</v>
      </c>
      <c r="H76">
        <f>F76*G76</f>
        <v/>
      </c>
      <c r="I76" t="inlineStr">
        <is>
          <t>Web</t>
        </is>
      </c>
    </row>
    <row r="77">
      <c r="A77" t="inlineStr">
        <is>
          <t>SO-10075</t>
        </is>
      </c>
      <c r="B77" t="inlineStr">
        <is>
          <t>2026-04-04</t>
        </is>
      </c>
      <c r="C77">
        <f>TEXT(DATEVALUE(B77),"yyyy-mm")</f>
        <v/>
      </c>
      <c r="D77" t="inlineStr">
        <is>
          <t>South</t>
        </is>
      </c>
      <c r="E77" t="inlineStr">
        <is>
          <t>Hardware</t>
        </is>
      </c>
      <c r="F77" t="n">
        <v>5</v>
      </c>
      <c r="G77" t="n">
        <v>99</v>
      </c>
      <c r="H77">
        <f>F77*G77</f>
        <v/>
      </c>
      <c r="I77" t="inlineStr">
        <is>
          <t>Partner</t>
        </is>
      </c>
    </row>
    <row r="78">
      <c r="A78" t="inlineStr">
        <is>
          <t>SO-10076</t>
        </is>
      </c>
      <c r="B78" t="inlineStr">
        <is>
          <t>2026-07-04</t>
        </is>
      </c>
      <c r="C78">
        <f>TEXT(DATEVALUE(B78),"yyyy-mm")</f>
        <v/>
      </c>
      <c r="D78" t="inlineStr">
        <is>
          <t>South</t>
        </is>
      </c>
      <c r="E78" t="inlineStr">
        <is>
          <t>Software</t>
        </is>
      </c>
      <c r="F78" t="n">
        <v>14</v>
      </c>
      <c r="G78" t="n">
        <v>349</v>
      </c>
      <c r="H78">
        <f>F78*G78</f>
        <v/>
      </c>
      <c r="I78" t="inlineStr">
        <is>
          <t>Partner</t>
        </is>
      </c>
    </row>
    <row r="79">
      <c r="A79" t="inlineStr">
        <is>
          <t>SO-10077</t>
        </is>
      </c>
      <c r="B79" t="inlineStr">
        <is>
          <t>2026-01-04</t>
        </is>
      </c>
      <c r="C79">
        <f>TEXT(DATEVALUE(B79),"yyyy-mm")</f>
        <v/>
      </c>
      <c r="D79" t="inlineStr">
        <is>
          <t>East</t>
        </is>
      </c>
      <c r="E79" t="inlineStr">
        <is>
          <t>Services</t>
        </is>
      </c>
      <c r="F79" t="n">
        <v>7</v>
      </c>
      <c r="G79" t="n">
        <v>799</v>
      </c>
      <c r="H79">
        <f>F79*G79</f>
        <v/>
      </c>
      <c r="I79" t="inlineStr">
        <is>
          <t>Web</t>
        </is>
      </c>
    </row>
    <row r="80">
      <c r="A80" t="inlineStr">
        <is>
          <t>SO-10078</t>
        </is>
      </c>
      <c r="B80" t="inlineStr">
        <is>
          <t>2026-09-21</t>
        </is>
      </c>
      <c r="C80">
        <f>TEXT(DATEVALUE(B80),"yyyy-mm")</f>
        <v/>
      </c>
      <c r="D80" t="inlineStr">
        <is>
          <t>South</t>
        </is>
      </c>
      <c r="E80" t="inlineStr">
        <is>
          <t>Hardware</t>
        </is>
      </c>
      <c r="F80" t="n">
        <v>25</v>
      </c>
      <c r="G80" t="n">
        <v>199</v>
      </c>
      <c r="H80">
        <f>F80*G80</f>
        <v/>
      </c>
      <c r="I80" t="inlineStr">
        <is>
          <t>Partner</t>
        </is>
      </c>
    </row>
    <row r="81">
      <c r="A81" t="inlineStr">
        <is>
          <t>SO-10079</t>
        </is>
      </c>
      <c r="B81" t="inlineStr">
        <is>
          <t>2026-02-01</t>
        </is>
      </c>
      <c r="C81">
        <f>TEXT(DATEVALUE(B81),"yyyy-mm")</f>
        <v/>
      </c>
      <c r="D81" t="inlineStr">
        <is>
          <t>West</t>
        </is>
      </c>
      <c r="E81" t="inlineStr">
        <is>
          <t>Software</t>
        </is>
      </c>
      <c r="F81" t="n">
        <v>2</v>
      </c>
      <c r="G81" t="n">
        <v>799</v>
      </c>
      <c r="H81">
        <f>F81*G81</f>
        <v/>
      </c>
      <c r="I81" t="inlineStr">
        <is>
          <t>Web</t>
        </is>
      </c>
    </row>
    <row r="82">
      <c r="A82" t="inlineStr">
        <is>
          <t>SO-10080</t>
        </is>
      </c>
      <c r="B82" t="inlineStr">
        <is>
          <t>2026-03-04</t>
        </is>
      </c>
      <c r="C82">
        <f>TEXT(DATEVALUE(B82),"yyyy-mm")</f>
        <v/>
      </c>
      <c r="D82" t="inlineStr">
        <is>
          <t>South</t>
        </is>
      </c>
      <c r="E82" t="inlineStr">
        <is>
          <t>Services</t>
        </is>
      </c>
      <c r="F82" t="n">
        <v>7</v>
      </c>
      <c r="G82" t="n">
        <v>99</v>
      </c>
      <c r="H82">
        <f>F82*G82</f>
        <v/>
      </c>
      <c r="I82" t="inlineStr">
        <is>
          <t>Direct</t>
        </is>
      </c>
    </row>
    <row r="83">
      <c r="A83" t="inlineStr">
        <is>
          <t>SO-10081</t>
        </is>
      </c>
      <c r="B83" t="inlineStr">
        <is>
          <t>2026-02-19</t>
        </is>
      </c>
      <c r="C83">
        <f>TEXT(DATEVALUE(B83),"yyyy-mm")</f>
        <v/>
      </c>
      <c r="D83" t="inlineStr">
        <is>
          <t>West</t>
        </is>
      </c>
      <c r="E83" t="inlineStr">
        <is>
          <t>Hardware</t>
        </is>
      </c>
      <c r="F83" t="n">
        <v>2</v>
      </c>
      <c r="G83" t="n">
        <v>99</v>
      </c>
      <c r="H83">
        <f>F83*G83</f>
        <v/>
      </c>
      <c r="I83" t="inlineStr">
        <is>
          <t>Web</t>
        </is>
      </c>
    </row>
    <row r="84">
      <c r="A84" t="inlineStr">
        <is>
          <t>SO-10082</t>
        </is>
      </c>
      <c r="B84" t="inlineStr">
        <is>
          <t>2026-06-13</t>
        </is>
      </c>
      <c r="C84">
        <f>TEXT(DATEVALUE(B84),"yyyy-mm")</f>
        <v/>
      </c>
      <c r="D84" t="inlineStr">
        <is>
          <t>East</t>
        </is>
      </c>
      <c r="E84" t="inlineStr">
        <is>
          <t>Training</t>
        </is>
      </c>
      <c r="F84" t="n">
        <v>15</v>
      </c>
      <c r="G84" t="n">
        <v>349</v>
      </c>
      <c r="H84">
        <f>F84*G84</f>
        <v/>
      </c>
      <c r="I84" t="inlineStr">
        <is>
          <t>Web</t>
        </is>
      </c>
    </row>
    <row r="85">
      <c r="A85" t="inlineStr">
        <is>
          <t>SO-10083</t>
        </is>
      </c>
      <c r="B85" t="inlineStr">
        <is>
          <t>2026-06-01</t>
        </is>
      </c>
      <c r="C85">
        <f>TEXT(DATEVALUE(B85),"yyyy-mm")</f>
        <v/>
      </c>
      <c r="D85" t="inlineStr">
        <is>
          <t>South</t>
        </is>
      </c>
      <c r="E85" t="inlineStr">
        <is>
          <t>Software</t>
        </is>
      </c>
      <c r="F85" t="n">
        <v>21</v>
      </c>
      <c r="G85" t="n">
        <v>49</v>
      </c>
      <c r="H85">
        <f>F85*G85</f>
        <v/>
      </c>
      <c r="I85" t="inlineStr">
        <is>
          <t>Partner</t>
        </is>
      </c>
    </row>
    <row r="86">
      <c r="A86" t="inlineStr">
        <is>
          <t>SO-10084</t>
        </is>
      </c>
      <c r="B86" t="inlineStr">
        <is>
          <t>2026-08-12</t>
        </is>
      </c>
      <c r="C86">
        <f>TEXT(DATEVALUE(B86),"yyyy-mm")</f>
        <v/>
      </c>
      <c r="D86" t="inlineStr">
        <is>
          <t>West</t>
        </is>
      </c>
      <c r="E86" t="inlineStr">
        <is>
          <t>Software</t>
        </is>
      </c>
      <c r="F86" t="n">
        <v>24</v>
      </c>
      <c r="G86" t="n">
        <v>199</v>
      </c>
      <c r="H86">
        <f>F86*G86</f>
        <v/>
      </c>
      <c r="I86" t="inlineStr">
        <is>
          <t>Direct</t>
        </is>
      </c>
    </row>
    <row r="87">
      <c r="A87" t="inlineStr">
        <is>
          <t>SO-10085</t>
        </is>
      </c>
      <c r="B87" t="inlineStr">
        <is>
          <t>2026-03-04</t>
        </is>
      </c>
      <c r="C87">
        <f>TEXT(DATEVALUE(B87),"yyyy-mm")</f>
        <v/>
      </c>
      <c r="D87" t="inlineStr">
        <is>
          <t>East</t>
        </is>
      </c>
      <c r="E87" t="inlineStr">
        <is>
          <t>Hardware</t>
        </is>
      </c>
      <c r="F87" t="n">
        <v>17</v>
      </c>
      <c r="G87" t="n">
        <v>49</v>
      </c>
      <c r="H87">
        <f>F87*G87</f>
        <v/>
      </c>
      <c r="I87" t="inlineStr">
        <is>
          <t>Direct</t>
        </is>
      </c>
    </row>
    <row r="88">
      <c r="A88" t="inlineStr">
        <is>
          <t>SO-10086</t>
        </is>
      </c>
      <c r="B88" t="inlineStr">
        <is>
          <t>2026-07-19</t>
        </is>
      </c>
      <c r="C88">
        <f>TEXT(DATEVALUE(B88),"yyyy-mm")</f>
        <v/>
      </c>
      <c r="D88" t="inlineStr">
        <is>
          <t>East</t>
        </is>
      </c>
      <c r="E88" t="inlineStr">
        <is>
          <t>Services</t>
        </is>
      </c>
      <c r="F88" t="n">
        <v>20</v>
      </c>
      <c r="G88" t="n">
        <v>99</v>
      </c>
      <c r="H88">
        <f>F88*G88</f>
        <v/>
      </c>
      <c r="I88" t="inlineStr">
        <is>
          <t>Partner</t>
        </is>
      </c>
    </row>
    <row r="89">
      <c r="A89" t="inlineStr">
        <is>
          <t>SO-10087</t>
        </is>
      </c>
      <c r="B89" t="inlineStr">
        <is>
          <t>2026-02-24</t>
        </is>
      </c>
      <c r="C89">
        <f>TEXT(DATEVALUE(B89),"yyyy-mm")</f>
        <v/>
      </c>
      <c r="D89" t="inlineStr">
        <is>
          <t>West</t>
        </is>
      </c>
      <c r="E89" t="inlineStr">
        <is>
          <t>Software</t>
        </is>
      </c>
      <c r="F89" t="n">
        <v>24</v>
      </c>
      <c r="G89" t="n">
        <v>99</v>
      </c>
      <c r="H89">
        <f>F89*G89</f>
        <v/>
      </c>
      <c r="I89" t="inlineStr">
        <is>
          <t>Partner</t>
        </is>
      </c>
    </row>
    <row r="90">
      <c r="A90" t="inlineStr">
        <is>
          <t>SO-10088</t>
        </is>
      </c>
      <c r="B90" t="inlineStr">
        <is>
          <t>2026-09-23</t>
        </is>
      </c>
      <c r="C90">
        <f>TEXT(DATEVALUE(B90),"yyyy-mm")</f>
        <v/>
      </c>
      <c r="D90" t="inlineStr">
        <is>
          <t>South</t>
        </is>
      </c>
      <c r="E90" t="inlineStr">
        <is>
          <t>Training</t>
        </is>
      </c>
      <c r="F90" t="n">
        <v>12</v>
      </c>
      <c r="G90" t="n">
        <v>349</v>
      </c>
      <c r="H90">
        <f>F90*G90</f>
        <v/>
      </c>
      <c r="I90" t="inlineStr">
        <is>
          <t>Web</t>
        </is>
      </c>
    </row>
    <row r="91">
      <c r="A91" t="inlineStr">
        <is>
          <t>SO-10089</t>
        </is>
      </c>
      <c r="B91" t="inlineStr">
        <is>
          <t>2026-03-03</t>
        </is>
      </c>
      <c r="C91">
        <f>TEXT(DATEVALUE(B91),"yyyy-mm")</f>
        <v/>
      </c>
      <c r="D91" t="inlineStr">
        <is>
          <t>West</t>
        </is>
      </c>
      <c r="E91" t="inlineStr">
        <is>
          <t>Hardware</t>
        </is>
      </c>
      <c r="F91" t="n">
        <v>11</v>
      </c>
      <c r="G91" t="n">
        <v>199</v>
      </c>
      <c r="H91">
        <f>F91*G91</f>
        <v/>
      </c>
      <c r="I91" t="inlineStr">
        <is>
          <t>Web</t>
        </is>
      </c>
    </row>
    <row r="92">
      <c r="A92" t="inlineStr">
        <is>
          <t>SO-10090</t>
        </is>
      </c>
      <c r="B92" t="inlineStr">
        <is>
          <t>2026-06-21</t>
        </is>
      </c>
      <c r="C92">
        <f>TEXT(DATEVALUE(B92),"yyyy-mm")</f>
        <v/>
      </c>
      <c r="D92" t="inlineStr">
        <is>
          <t>South</t>
        </is>
      </c>
      <c r="E92" t="inlineStr">
        <is>
          <t>Services</t>
        </is>
      </c>
      <c r="F92" t="n">
        <v>20</v>
      </c>
      <c r="G92" t="n">
        <v>49</v>
      </c>
      <c r="H92">
        <f>F92*G92</f>
        <v/>
      </c>
      <c r="I92" t="inlineStr">
        <is>
          <t>Direct</t>
        </is>
      </c>
    </row>
    <row r="93">
      <c r="A93" t="inlineStr">
        <is>
          <t>SO-10091</t>
        </is>
      </c>
      <c r="B93" t="inlineStr">
        <is>
          <t>2026-05-11</t>
        </is>
      </c>
      <c r="C93">
        <f>TEXT(DATEVALUE(B93),"yyyy-mm")</f>
        <v/>
      </c>
      <c r="D93" t="inlineStr">
        <is>
          <t>South</t>
        </is>
      </c>
      <c r="E93" t="inlineStr">
        <is>
          <t>Hardware</t>
        </is>
      </c>
      <c r="F93" t="n">
        <v>7</v>
      </c>
      <c r="G93" t="n">
        <v>349</v>
      </c>
      <c r="H93">
        <f>F93*G93</f>
        <v/>
      </c>
      <c r="I93" t="inlineStr">
        <is>
          <t>Partner</t>
        </is>
      </c>
    </row>
    <row r="94">
      <c r="A94" t="inlineStr">
        <is>
          <t>SO-10092</t>
        </is>
      </c>
      <c r="B94" t="inlineStr">
        <is>
          <t>2026-09-16</t>
        </is>
      </c>
      <c r="C94">
        <f>TEXT(DATEVALUE(B94),"yyyy-mm")</f>
        <v/>
      </c>
      <c r="D94" t="inlineStr">
        <is>
          <t>North</t>
        </is>
      </c>
      <c r="E94" t="inlineStr">
        <is>
          <t>Training</t>
        </is>
      </c>
      <c r="F94" t="n">
        <v>21</v>
      </c>
      <c r="G94" t="n">
        <v>99</v>
      </c>
      <c r="H94">
        <f>F94*G94</f>
        <v/>
      </c>
      <c r="I94" t="inlineStr">
        <is>
          <t>Direct</t>
        </is>
      </c>
    </row>
    <row r="95">
      <c r="A95" t="inlineStr">
        <is>
          <t>SO-10093</t>
        </is>
      </c>
      <c r="B95" t="inlineStr">
        <is>
          <t>2026-01-04</t>
        </is>
      </c>
      <c r="C95">
        <f>TEXT(DATEVALUE(B95),"yyyy-mm")</f>
        <v/>
      </c>
      <c r="D95" t="inlineStr">
        <is>
          <t>South</t>
        </is>
      </c>
      <c r="E95" t="inlineStr">
        <is>
          <t>Services</t>
        </is>
      </c>
      <c r="F95" t="n">
        <v>20</v>
      </c>
      <c r="G95" t="n">
        <v>49</v>
      </c>
      <c r="H95">
        <f>F95*G95</f>
        <v/>
      </c>
      <c r="I95" t="inlineStr">
        <is>
          <t>Partner</t>
        </is>
      </c>
    </row>
    <row r="96">
      <c r="A96" t="inlineStr">
        <is>
          <t>SO-10094</t>
        </is>
      </c>
      <c r="B96" t="inlineStr">
        <is>
          <t>2026-07-17</t>
        </is>
      </c>
      <c r="C96">
        <f>TEXT(DATEVALUE(B96),"yyyy-mm")</f>
        <v/>
      </c>
      <c r="D96" t="inlineStr">
        <is>
          <t>West</t>
        </is>
      </c>
      <c r="E96" t="inlineStr">
        <is>
          <t>Hardware</t>
        </is>
      </c>
      <c r="F96" t="n">
        <v>2</v>
      </c>
      <c r="G96" t="n">
        <v>99</v>
      </c>
      <c r="H96">
        <f>F96*G96</f>
        <v/>
      </c>
      <c r="I96" t="inlineStr">
        <is>
          <t>Web</t>
        </is>
      </c>
    </row>
    <row r="97">
      <c r="A97" t="inlineStr">
        <is>
          <t>SO-10095</t>
        </is>
      </c>
      <c r="B97" t="inlineStr">
        <is>
          <t>2026-05-09</t>
        </is>
      </c>
      <c r="C97">
        <f>TEXT(DATEVALUE(B97),"yyyy-mm")</f>
        <v/>
      </c>
      <c r="D97" t="inlineStr">
        <is>
          <t>West</t>
        </is>
      </c>
      <c r="E97" t="inlineStr">
        <is>
          <t>Hardware</t>
        </is>
      </c>
      <c r="F97" t="n">
        <v>9</v>
      </c>
      <c r="G97" t="n">
        <v>199</v>
      </c>
      <c r="H97">
        <f>F97*G97</f>
        <v/>
      </c>
      <c r="I97" t="inlineStr">
        <is>
          <t>Direct</t>
        </is>
      </c>
    </row>
    <row r="98">
      <c r="A98" t="inlineStr">
        <is>
          <t>SO-10096</t>
        </is>
      </c>
      <c r="B98" t="inlineStr">
        <is>
          <t>2026-08-26</t>
        </is>
      </c>
      <c r="C98">
        <f>TEXT(DATEVALUE(B98),"yyyy-mm")</f>
        <v/>
      </c>
      <c r="D98" t="inlineStr">
        <is>
          <t>North</t>
        </is>
      </c>
      <c r="E98" t="inlineStr">
        <is>
          <t>Training</t>
        </is>
      </c>
      <c r="F98" t="n">
        <v>21</v>
      </c>
      <c r="G98" t="n">
        <v>49</v>
      </c>
      <c r="H98">
        <f>F98*G98</f>
        <v/>
      </c>
      <c r="I98" t="inlineStr">
        <is>
          <t>Web</t>
        </is>
      </c>
    </row>
    <row r="99">
      <c r="A99" t="inlineStr">
        <is>
          <t>SO-10097</t>
        </is>
      </c>
      <c r="B99" t="inlineStr">
        <is>
          <t>2026-07-16</t>
        </is>
      </c>
      <c r="C99">
        <f>TEXT(DATEVALUE(B99),"yyyy-mm")</f>
        <v/>
      </c>
      <c r="D99" t="inlineStr">
        <is>
          <t>North</t>
        </is>
      </c>
      <c r="E99" t="inlineStr">
        <is>
          <t>Training</t>
        </is>
      </c>
      <c r="F99" t="n">
        <v>6</v>
      </c>
      <c r="G99" t="n">
        <v>349</v>
      </c>
      <c r="H99">
        <f>F99*G99</f>
        <v/>
      </c>
      <c r="I99" t="inlineStr">
        <is>
          <t>Partner</t>
        </is>
      </c>
    </row>
    <row r="100">
      <c r="A100" t="inlineStr">
        <is>
          <t>SO-10098</t>
        </is>
      </c>
      <c r="B100" t="inlineStr">
        <is>
          <t>2026-07-10</t>
        </is>
      </c>
      <c r="C100">
        <f>TEXT(DATEVALUE(B100),"yyyy-mm")</f>
        <v/>
      </c>
      <c r="D100" t="inlineStr">
        <is>
          <t>East</t>
        </is>
      </c>
      <c r="E100" t="inlineStr">
        <is>
          <t>Services</t>
        </is>
      </c>
      <c r="F100" t="n">
        <v>17</v>
      </c>
      <c r="G100" t="n">
        <v>349</v>
      </c>
      <c r="H100">
        <f>F100*G100</f>
        <v/>
      </c>
      <c r="I100" t="inlineStr">
        <is>
          <t>Direct</t>
        </is>
      </c>
    </row>
    <row r="101">
      <c r="A101" t="inlineStr">
        <is>
          <t>SO-10099</t>
        </is>
      </c>
      <c r="B101" t="inlineStr">
        <is>
          <t>2026-05-16</t>
        </is>
      </c>
      <c r="C101">
        <f>TEXT(DATEVALUE(B101),"yyyy-mm")</f>
        <v/>
      </c>
      <c r="D101" t="inlineStr">
        <is>
          <t>East</t>
        </is>
      </c>
      <c r="E101" t="inlineStr">
        <is>
          <t>Services</t>
        </is>
      </c>
      <c r="F101" t="n">
        <v>21</v>
      </c>
      <c r="G101" t="n">
        <v>199</v>
      </c>
      <c r="H101">
        <f>F101*G101</f>
        <v/>
      </c>
      <c r="I101" t="inlineStr">
        <is>
          <t>Web</t>
        </is>
      </c>
    </row>
    <row r="102">
      <c r="A102" t="inlineStr">
        <is>
          <t>SO-10100</t>
        </is>
      </c>
      <c r="B102" t="inlineStr">
        <is>
          <t>2026-01-25</t>
        </is>
      </c>
      <c r="C102">
        <f>TEXT(DATEVALUE(B102),"yyyy-mm")</f>
        <v/>
      </c>
      <c r="D102" t="inlineStr">
        <is>
          <t>North</t>
        </is>
      </c>
      <c r="E102" t="inlineStr">
        <is>
          <t>Software</t>
        </is>
      </c>
      <c r="F102" t="n">
        <v>8</v>
      </c>
      <c r="G102" t="n">
        <v>799</v>
      </c>
      <c r="H102">
        <f>F102*G102</f>
        <v/>
      </c>
      <c r="I102" t="inlineStr">
        <is>
          <t>Partner</t>
        </is>
      </c>
    </row>
    <row r="103">
      <c r="A103" t="inlineStr">
        <is>
          <t>SO-10101</t>
        </is>
      </c>
      <c r="B103" t="inlineStr">
        <is>
          <t>2026-07-02</t>
        </is>
      </c>
      <c r="C103">
        <f>TEXT(DATEVALUE(B103),"yyyy-mm")</f>
        <v/>
      </c>
      <c r="D103" t="inlineStr">
        <is>
          <t>North</t>
        </is>
      </c>
      <c r="E103" t="inlineStr">
        <is>
          <t>Services</t>
        </is>
      </c>
      <c r="F103" t="n">
        <v>11</v>
      </c>
      <c r="G103" t="n">
        <v>349</v>
      </c>
      <c r="H103">
        <f>F103*G103</f>
        <v/>
      </c>
      <c r="I103" t="inlineStr">
        <is>
          <t>Web</t>
        </is>
      </c>
    </row>
    <row r="104">
      <c r="A104" t="inlineStr">
        <is>
          <t>SO-10102</t>
        </is>
      </c>
      <c r="B104" t="inlineStr">
        <is>
          <t>2026-04-14</t>
        </is>
      </c>
      <c r="C104">
        <f>TEXT(DATEVALUE(B104),"yyyy-mm")</f>
        <v/>
      </c>
      <c r="D104" t="inlineStr">
        <is>
          <t>East</t>
        </is>
      </c>
      <c r="E104" t="inlineStr">
        <is>
          <t>Software</t>
        </is>
      </c>
      <c r="F104" t="n">
        <v>24</v>
      </c>
      <c r="G104" t="n">
        <v>349</v>
      </c>
      <c r="H104">
        <f>F104*G104</f>
        <v/>
      </c>
      <c r="I104" t="inlineStr">
        <is>
          <t>Web</t>
        </is>
      </c>
    </row>
    <row r="105">
      <c r="A105" t="inlineStr">
        <is>
          <t>SO-10103</t>
        </is>
      </c>
      <c r="B105" t="inlineStr">
        <is>
          <t>2026-09-04</t>
        </is>
      </c>
      <c r="C105">
        <f>TEXT(DATEVALUE(B105),"yyyy-mm")</f>
        <v/>
      </c>
      <c r="D105" t="inlineStr">
        <is>
          <t>South</t>
        </is>
      </c>
      <c r="E105" t="inlineStr">
        <is>
          <t>Software</t>
        </is>
      </c>
      <c r="F105" t="n">
        <v>24</v>
      </c>
      <c r="G105" t="n">
        <v>349</v>
      </c>
      <c r="H105">
        <f>F105*G105</f>
        <v/>
      </c>
      <c r="I105" t="inlineStr">
        <is>
          <t>Direct</t>
        </is>
      </c>
    </row>
    <row r="106">
      <c r="A106" t="inlineStr">
        <is>
          <t>SO-10104</t>
        </is>
      </c>
      <c r="B106" t="inlineStr">
        <is>
          <t>2026-02-02</t>
        </is>
      </c>
      <c r="C106">
        <f>TEXT(DATEVALUE(B106),"yyyy-mm")</f>
        <v/>
      </c>
      <c r="D106" t="inlineStr">
        <is>
          <t>West</t>
        </is>
      </c>
      <c r="E106" t="inlineStr">
        <is>
          <t>Hardware</t>
        </is>
      </c>
      <c r="F106" t="n">
        <v>20</v>
      </c>
      <c r="G106" t="n">
        <v>349</v>
      </c>
      <c r="H106">
        <f>F106*G106</f>
        <v/>
      </c>
      <c r="I106" t="inlineStr">
        <is>
          <t>Web</t>
        </is>
      </c>
    </row>
    <row r="107">
      <c r="A107" t="inlineStr">
        <is>
          <t>SO-10105</t>
        </is>
      </c>
      <c r="B107" t="inlineStr">
        <is>
          <t>2026-01-12</t>
        </is>
      </c>
      <c r="C107">
        <f>TEXT(DATEVALUE(B107),"yyyy-mm")</f>
        <v/>
      </c>
      <c r="D107" t="inlineStr">
        <is>
          <t>North</t>
        </is>
      </c>
      <c r="E107" t="inlineStr">
        <is>
          <t>Services</t>
        </is>
      </c>
      <c r="F107" t="n">
        <v>17</v>
      </c>
      <c r="G107" t="n">
        <v>99</v>
      </c>
      <c r="H107">
        <f>F107*G107</f>
        <v/>
      </c>
      <c r="I107" t="inlineStr">
        <is>
          <t>Partner</t>
        </is>
      </c>
    </row>
    <row r="108">
      <c r="A108" t="inlineStr">
        <is>
          <t>SO-10106</t>
        </is>
      </c>
      <c r="B108" t="inlineStr">
        <is>
          <t>2026-03-22</t>
        </is>
      </c>
      <c r="C108">
        <f>TEXT(DATEVALUE(B108),"yyyy-mm")</f>
        <v/>
      </c>
      <c r="D108" t="inlineStr">
        <is>
          <t>East</t>
        </is>
      </c>
      <c r="E108" t="inlineStr">
        <is>
          <t>Training</t>
        </is>
      </c>
      <c r="F108" t="n">
        <v>14</v>
      </c>
      <c r="G108" t="n">
        <v>349</v>
      </c>
      <c r="H108">
        <f>F108*G108</f>
        <v/>
      </c>
      <c r="I108" t="inlineStr">
        <is>
          <t>Partner</t>
        </is>
      </c>
    </row>
    <row r="109">
      <c r="A109" t="inlineStr">
        <is>
          <t>SO-10107</t>
        </is>
      </c>
      <c r="B109" t="inlineStr">
        <is>
          <t>2026-09-27</t>
        </is>
      </c>
      <c r="C109">
        <f>TEXT(DATEVALUE(B109),"yyyy-mm")</f>
        <v/>
      </c>
      <c r="D109" t="inlineStr">
        <is>
          <t>South</t>
        </is>
      </c>
      <c r="E109" t="inlineStr">
        <is>
          <t>Software</t>
        </is>
      </c>
      <c r="F109" t="n">
        <v>5</v>
      </c>
      <c r="G109" t="n">
        <v>199</v>
      </c>
      <c r="H109">
        <f>F109*G109</f>
        <v/>
      </c>
      <c r="I109" t="inlineStr">
        <is>
          <t>Partner</t>
        </is>
      </c>
    </row>
    <row r="110">
      <c r="A110" t="inlineStr">
        <is>
          <t>SO-10108</t>
        </is>
      </c>
      <c r="B110" t="inlineStr">
        <is>
          <t>2026-02-17</t>
        </is>
      </c>
      <c r="C110">
        <f>TEXT(DATEVALUE(B110),"yyyy-mm")</f>
        <v/>
      </c>
      <c r="D110" t="inlineStr">
        <is>
          <t>East</t>
        </is>
      </c>
      <c r="E110" t="inlineStr">
        <is>
          <t>Services</t>
        </is>
      </c>
      <c r="F110" t="n">
        <v>10</v>
      </c>
      <c r="G110" t="n">
        <v>799</v>
      </c>
      <c r="H110">
        <f>F110*G110</f>
        <v/>
      </c>
      <c r="I110" t="inlineStr">
        <is>
          <t>Partner</t>
        </is>
      </c>
    </row>
    <row r="111">
      <c r="A111" t="inlineStr">
        <is>
          <t>SO-10109</t>
        </is>
      </c>
      <c r="B111" t="inlineStr">
        <is>
          <t>2026-04-21</t>
        </is>
      </c>
      <c r="C111">
        <f>TEXT(DATEVALUE(B111),"yyyy-mm")</f>
        <v/>
      </c>
      <c r="D111" t="inlineStr">
        <is>
          <t>South</t>
        </is>
      </c>
      <c r="E111" t="inlineStr">
        <is>
          <t>Software</t>
        </is>
      </c>
      <c r="F111" t="n">
        <v>9</v>
      </c>
      <c r="G111" t="n">
        <v>99</v>
      </c>
      <c r="H111">
        <f>F111*G111</f>
        <v/>
      </c>
      <c r="I111" t="inlineStr">
        <is>
          <t>Direct</t>
        </is>
      </c>
    </row>
    <row r="112">
      <c r="A112" t="inlineStr">
        <is>
          <t>SO-10110</t>
        </is>
      </c>
      <c r="B112" t="inlineStr">
        <is>
          <t>2026-04-22</t>
        </is>
      </c>
      <c r="C112">
        <f>TEXT(DATEVALUE(B112),"yyyy-mm")</f>
        <v/>
      </c>
      <c r="D112" t="inlineStr">
        <is>
          <t>North</t>
        </is>
      </c>
      <c r="E112" t="inlineStr">
        <is>
          <t>Services</t>
        </is>
      </c>
      <c r="F112" t="n">
        <v>2</v>
      </c>
      <c r="G112" t="n">
        <v>49</v>
      </c>
      <c r="H112">
        <f>F112*G112</f>
        <v/>
      </c>
      <c r="I112" t="inlineStr">
        <is>
          <t>Partner</t>
        </is>
      </c>
    </row>
    <row r="113">
      <c r="A113" t="inlineStr">
        <is>
          <t>SO-10111</t>
        </is>
      </c>
      <c r="B113" t="inlineStr">
        <is>
          <t>2026-07-01</t>
        </is>
      </c>
      <c r="C113">
        <f>TEXT(DATEVALUE(B113),"yyyy-mm")</f>
        <v/>
      </c>
      <c r="D113" t="inlineStr">
        <is>
          <t>North</t>
        </is>
      </c>
      <c r="E113" t="inlineStr">
        <is>
          <t>Software</t>
        </is>
      </c>
      <c r="F113" t="n">
        <v>20</v>
      </c>
      <c r="G113" t="n">
        <v>49</v>
      </c>
      <c r="H113">
        <f>F113*G113</f>
        <v/>
      </c>
      <c r="I113" t="inlineStr">
        <is>
          <t>Direct</t>
        </is>
      </c>
    </row>
    <row r="114">
      <c r="A114" t="inlineStr">
        <is>
          <t>SO-10112</t>
        </is>
      </c>
      <c r="B114" t="inlineStr">
        <is>
          <t>2026-05-03</t>
        </is>
      </c>
      <c r="C114">
        <f>TEXT(DATEVALUE(B114),"yyyy-mm")</f>
        <v/>
      </c>
      <c r="D114" t="inlineStr">
        <is>
          <t>South</t>
        </is>
      </c>
      <c r="E114" t="inlineStr">
        <is>
          <t>Software</t>
        </is>
      </c>
      <c r="F114" t="n">
        <v>25</v>
      </c>
      <c r="G114" t="n">
        <v>49</v>
      </c>
      <c r="H114">
        <f>F114*G114</f>
        <v/>
      </c>
      <c r="I114" t="inlineStr">
        <is>
          <t>Direct</t>
        </is>
      </c>
    </row>
    <row r="115">
      <c r="A115" t="inlineStr">
        <is>
          <t>SO-10113</t>
        </is>
      </c>
      <c r="B115" t="inlineStr">
        <is>
          <t>2026-06-16</t>
        </is>
      </c>
      <c r="C115">
        <f>TEXT(DATEVALUE(B115),"yyyy-mm")</f>
        <v/>
      </c>
      <c r="D115" t="inlineStr">
        <is>
          <t>South</t>
        </is>
      </c>
      <c r="E115" t="inlineStr">
        <is>
          <t>Services</t>
        </is>
      </c>
      <c r="F115" t="n">
        <v>16</v>
      </c>
      <c r="G115" t="n">
        <v>199</v>
      </c>
      <c r="H115">
        <f>F115*G115</f>
        <v/>
      </c>
      <c r="I115" t="inlineStr">
        <is>
          <t>Partner</t>
        </is>
      </c>
    </row>
    <row r="116">
      <c r="A116" t="inlineStr">
        <is>
          <t>SO-10114</t>
        </is>
      </c>
      <c r="B116" t="inlineStr">
        <is>
          <t>2026-08-24</t>
        </is>
      </c>
      <c r="C116">
        <f>TEXT(DATEVALUE(B116),"yyyy-mm")</f>
        <v/>
      </c>
      <c r="D116" t="inlineStr">
        <is>
          <t>North</t>
        </is>
      </c>
      <c r="E116" t="inlineStr">
        <is>
          <t>Training</t>
        </is>
      </c>
      <c r="F116" t="n">
        <v>5</v>
      </c>
      <c r="G116" t="n">
        <v>49</v>
      </c>
      <c r="H116">
        <f>F116*G116</f>
        <v/>
      </c>
      <c r="I116" t="inlineStr">
        <is>
          <t>Direct</t>
        </is>
      </c>
    </row>
    <row r="117">
      <c r="A117" t="inlineStr">
        <is>
          <t>SO-10115</t>
        </is>
      </c>
      <c r="B117" t="inlineStr">
        <is>
          <t>2026-04-15</t>
        </is>
      </c>
      <c r="C117">
        <f>TEXT(DATEVALUE(B117),"yyyy-mm")</f>
        <v/>
      </c>
      <c r="D117" t="inlineStr">
        <is>
          <t>West</t>
        </is>
      </c>
      <c r="E117" t="inlineStr">
        <is>
          <t>Software</t>
        </is>
      </c>
      <c r="F117" t="n">
        <v>14</v>
      </c>
      <c r="G117" t="n">
        <v>199</v>
      </c>
      <c r="H117">
        <f>F117*G117</f>
        <v/>
      </c>
      <c r="I117" t="inlineStr">
        <is>
          <t>Partner</t>
        </is>
      </c>
    </row>
    <row r="118">
      <c r="A118" t="inlineStr">
        <is>
          <t>SO-10116</t>
        </is>
      </c>
      <c r="B118" t="inlineStr">
        <is>
          <t>2026-03-21</t>
        </is>
      </c>
      <c r="C118">
        <f>TEXT(DATEVALUE(B118),"yyyy-mm")</f>
        <v/>
      </c>
      <c r="D118" t="inlineStr">
        <is>
          <t>East</t>
        </is>
      </c>
      <c r="E118" t="inlineStr">
        <is>
          <t>Software</t>
        </is>
      </c>
      <c r="F118" t="n">
        <v>20</v>
      </c>
      <c r="G118" t="n">
        <v>199</v>
      </c>
      <c r="H118">
        <f>F118*G118</f>
        <v/>
      </c>
      <c r="I118" t="inlineStr">
        <is>
          <t>Partner</t>
        </is>
      </c>
    </row>
    <row r="119">
      <c r="A119" t="inlineStr">
        <is>
          <t>SO-10117</t>
        </is>
      </c>
      <c r="B119" t="inlineStr">
        <is>
          <t>2026-06-19</t>
        </is>
      </c>
      <c r="C119">
        <f>TEXT(DATEVALUE(B119),"yyyy-mm")</f>
        <v/>
      </c>
      <c r="D119" t="inlineStr">
        <is>
          <t>East</t>
        </is>
      </c>
      <c r="E119" t="inlineStr">
        <is>
          <t>Hardware</t>
        </is>
      </c>
      <c r="F119" t="n">
        <v>4</v>
      </c>
      <c r="G119" t="n">
        <v>349</v>
      </c>
      <c r="H119">
        <f>F119*G119</f>
        <v/>
      </c>
      <c r="I119" t="inlineStr">
        <is>
          <t>Direct</t>
        </is>
      </c>
    </row>
    <row r="120">
      <c r="A120" t="inlineStr">
        <is>
          <t>SO-10118</t>
        </is>
      </c>
      <c r="B120" t="inlineStr">
        <is>
          <t>2026-02-14</t>
        </is>
      </c>
      <c r="C120">
        <f>TEXT(DATEVALUE(B120),"yyyy-mm")</f>
        <v/>
      </c>
      <c r="D120" t="inlineStr">
        <is>
          <t>West</t>
        </is>
      </c>
      <c r="E120" t="inlineStr">
        <is>
          <t>Training</t>
        </is>
      </c>
      <c r="F120" t="n">
        <v>19</v>
      </c>
      <c r="G120" t="n">
        <v>799</v>
      </c>
      <c r="H120">
        <f>F120*G120</f>
        <v/>
      </c>
      <c r="I120" t="inlineStr">
        <is>
          <t>Partner</t>
        </is>
      </c>
    </row>
    <row r="121">
      <c r="A121" t="inlineStr">
        <is>
          <t>SO-10119</t>
        </is>
      </c>
      <c r="B121" t="inlineStr">
        <is>
          <t>2026-01-03</t>
        </is>
      </c>
      <c r="C121">
        <f>TEXT(DATEVALUE(B121),"yyyy-mm")</f>
        <v/>
      </c>
      <c r="D121" t="inlineStr">
        <is>
          <t>North</t>
        </is>
      </c>
      <c r="E121" t="inlineStr">
        <is>
          <t>Services</t>
        </is>
      </c>
      <c r="F121" t="n">
        <v>10</v>
      </c>
      <c r="G121" t="n">
        <v>99</v>
      </c>
      <c r="H121">
        <f>F121*G121</f>
        <v/>
      </c>
      <c r="I121" t="inlineStr">
        <is>
          <t>Partner</t>
        </is>
      </c>
    </row>
    <row r="122">
      <c r="A122" t="inlineStr">
        <is>
          <t>SO-10120</t>
        </is>
      </c>
      <c r="B122" t="inlineStr">
        <is>
          <t>2026-06-10</t>
        </is>
      </c>
      <c r="C122">
        <f>TEXT(DATEVALUE(B122),"yyyy-mm")</f>
        <v/>
      </c>
      <c r="D122" t="inlineStr">
        <is>
          <t>East</t>
        </is>
      </c>
      <c r="E122" t="inlineStr">
        <is>
          <t>Services</t>
        </is>
      </c>
      <c r="F122" t="n">
        <v>5</v>
      </c>
      <c r="G122" t="n">
        <v>99</v>
      </c>
      <c r="H122">
        <f>F122*G122</f>
        <v/>
      </c>
      <c r="I122" t="inlineStr">
        <is>
          <t>Partner</t>
        </is>
      </c>
    </row>
    <row r="123">
      <c r="A123" t="inlineStr">
        <is>
          <t>SO-10121</t>
        </is>
      </c>
      <c r="B123" t="inlineStr">
        <is>
          <t>2026-02-11</t>
        </is>
      </c>
      <c r="C123">
        <f>TEXT(DATEVALUE(B123),"yyyy-mm")</f>
        <v/>
      </c>
      <c r="D123" t="inlineStr">
        <is>
          <t>East</t>
        </is>
      </c>
      <c r="E123" t="inlineStr">
        <is>
          <t>Training</t>
        </is>
      </c>
      <c r="F123" t="n">
        <v>23</v>
      </c>
      <c r="G123" t="n">
        <v>349</v>
      </c>
      <c r="H123">
        <f>F123*G123</f>
        <v/>
      </c>
      <c r="I123" t="inlineStr">
        <is>
          <t>Direct</t>
        </is>
      </c>
    </row>
    <row r="124">
      <c r="A124" t="inlineStr">
        <is>
          <t>SO-10122</t>
        </is>
      </c>
      <c r="B124" t="inlineStr">
        <is>
          <t>2026-05-15</t>
        </is>
      </c>
      <c r="C124">
        <f>TEXT(DATEVALUE(B124),"yyyy-mm")</f>
        <v/>
      </c>
      <c r="D124" t="inlineStr">
        <is>
          <t>West</t>
        </is>
      </c>
      <c r="E124" t="inlineStr">
        <is>
          <t>Software</t>
        </is>
      </c>
      <c r="F124" t="n">
        <v>11</v>
      </c>
      <c r="G124" t="n">
        <v>99</v>
      </c>
      <c r="H124">
        <f>F124*G124</f>
        <v/>
      </c>
      <c r="I124" t="inlineStr">
        <is>
          <t>Web</t>
        </is>
      </c>
    </row>
    <row r="125">
      <c r="A125" t="inlineStr">
        <is>
          <t>SO-10123</t>
        </is>
      </c>
      <c r="B125" t="inlineStr">
        <is>
          <t>2026-06-27</t>
        </is>
      </c>
      <c r="C125">
        <f>TEXT(DATEVALUE(B125),"yyyy-mm")</f>
        <v/>
      </c>
      <c r="D125" t="inlineStr">
        <is>
          <t>East</t>
        </is>
      </c>
      <c r="E125" t="inlineStr">
        <is>
          <t>Training</t>
        </is>
      </c>
      <c r="F125" t="n">
        <v>12</v>
      </c>
      <c r="G125" t="n">
        <v>49</v>
      </c>
      <c r="H125">
        <f>F125*G125</f>
        <v/>
      </c>
      <c r="I125" t="inlineStr">
        <is>
          <t>Direct</t>
        </is>
      </c>
    </row>
    <row r="126">
      <c r="A126" t="inlineStr">
        <is>
          <t>SO-10124</t>
        </is>
      </c>
      <c r="B126" t="inlineStr">
        <is>
          <t>2026-07-26</t>
        </is>
      </c>
      <c r="C126">
        <f>TEXT(DATEVALUE(B126),"yyyy-mm")</f>
        <v/>
      </c>
      <c r="D126" t="inlineStr">
        <is>
          <t>East</t>
        </is>
      </c>
      <c r="E126" t="inlineStr">
        <is>
          <t>Training</t>
        </is>
      </c>
      <c r="F126" t="n">
        <v>7</v>
      </c>
      <c r="G126" t="n">
        <v>799</v>
      </c>
      <c r="H126">
        <f>F126*G126</f>
        <v/>
      </c>
      <c r="I126" t="inlineStr">
        <is>
          <t>Direct</t>
        </is>
      </c>
    </row>
    <row r="127">
      <c r="A127" t="inlineStr">
        <is>
          <t>SO-10125</t>
        </is>
      </c>
      <c r="B127" t="inlineStr">
        <is>
          <t>2026-03-27</t>
        </is>
      </c>
      <c r="C127">
        <f>TEXT(DATEVALUE(B127),"yyyy-mm")</f>
        <v/>
      </c>
      <c r="D127" t="inlineStr">
        <is>
          <t>South</t>
        </is>
      </c>
      <c r="E127" t="inlineStr">
        <is>
          <t>Software</t>
        </is>
      </c>
      <c r="F127" t="n">
        <v>19</v>
      </c>
      <c r="G127" t="n">
        <v>799</v>
      </c>
      <c r="H127">
        <f>F127*G127</f>
        <v/>
      </c>
      <c r="I127" t="inlineStr">
        <is>
          <t>Web</t>
        </is>
      </c>
    </row>
    <row r="128">
      <c r="A128" t="inlineStr">
        <is>
          <t>SO-10126</t>
        </is>
      </c>
      <c r="B128" t="inlineStr">
        <is>
          <t>2026-08-28</t>
        </is>
      </c>
      <c r="C128">
        <f>TEXT(DATEVALUE(B128),"yyyy-mm")</f>
        <v/>
      </c>
      <c r="D128" t="inlineStr">
        <is>
          <t>South</t>
        </is>
      </c>
      <c r="E128" t="inlineStr">
        <is>
          <t>Hardware</t>
        </is>
      </c>
      <c r="F128" t="n">
        <v>10</v>
      </c>
      <c r="G128" t="n">
        <v>49</v>
      </c>
      <c r="H128">
        <f>F128*G128</f>
        <v/>
      </c>
      <c r="I128" t="inlineStr">
        <is>
          <t>Direct</t>
        </is>
      </c>
    </row>
    <row r="129">
      <c r="A129" t="inlineStr">
        <is>
          <t>SO-10127</t>
        </is>
      </c>
      <c r="B129" t="inlineStr">
        <is>
          <t>2026-03-19</t>
        </is>
      </c>
      <c r="C129">
        <f>TEXT(DATEVALUE(B129),"yyyy-mm")</f>
        <v/>
      </c>
      <c r="D129" t="inlineStr">
        <is>
          <t>West</t>
        </is>
      </c>
      <c r="E129" t="inlineStr">
        <is>
          <t>Hardware</t>
        </is>
      </c>
      <c r="F129" t="n">
        <v>10</v>
      </c>
      <c r="G129" t="n">
        <v>49</v>
      </c>
      <c r="H129">
        <f>F129*G129</f>
        <v/>
      </c>
      <c r="I129" t="inlineStr">
        <is>
          <t>Direct</t>
        </is>
      </c>
    </row>
    <row r="130">
      <c r="A130" t="inlineStr">
        <is>
          <t>SO-10128</t>
        </is>
      </c>
      <c r="B130" t="inlineStr">
        <is>
          <t>2026-09-10</t>
        </is>
      </c>
      <c r="C130">
        <f>TEXT(DATEVALUE(B130),"yyyy-mm")</f>
        <v/>
      </c>
      <c r="D130" t="inlineStr">
        <is>
          <t>East</t>
        </is>
      </c>
      <c r="E130" t="inlineStr">
        <is>
          <t>Hardware</t>
        </is>
      </c>
      <c r="F130" t="n">
        <v>18</v>
      </c>
      <c r="G130" t="n">
        <v>49</v>
      </c>
      <c r="H130">
        <f>F130*G130</f>
        <v/>
      </c>
      <c r="I130" t="inlineStr">
        <is>
          <t>Partner</t>
        </is>
      </c>
    </row>
    <row r="131">
      <c r="A131" t="inlineStr">
        <is>
          <t>SO-10129</t>
        </is>
      </c>
      <c r="B131" t="inlineStr">
        <is>
          <t>2026-02-11</t>
        </is>
      </c>
      <c r="C131">
        <f>TEXT(DATEVALUE(B131),"yyyy-mm")</f>
        <v/>
      </c>
      <c r="D131" t="inlineStr">
        <is>
          <t>South</t>
        </is>
      </c>
      <c r="E131" t="inlineStr">
        <is>
          <t>Hardware</t>
        </is>
      </c>
      <c r="F131" t="n">
        <v>3</v>
      </c>
      <c r="G131" t="n">
        <v>49</v>
      </c>
      <c r="H131">
        <f>F131*G131</f>
        <v/>
      </c>
      <c r="I131" t="inlineStr">
        <is>
          <t>Direct</t>
        </is>
      </c>
    </row>
    <row r="132">
      <c r="A132" t="inlineStr">
        <is>
          <t>SO-10130</t>
        </is>
      </c>
      <c r="B132" t="inlineStr">
        <is>
          <t>2026-07-08</t>
        </is>
      </c>
      <c r="C132">
        <f>TEXT(DATEVALUE(B132),"yyyy-mm")</f>
        <v/>
      </c>
      <c r="D132" t="inlineStr">
        <is>
          <t>West</t>
        </is>
      </c>
      <c r="E132" t="inlineStr">
        <is>
          <t>Services</t>
        </is>
      </c>
      <c r="F132" t="n">
        <v>23</v>
      </c>
      <c r="G132" t="n">
        <v>99</v>
      </c>
      <c r="H132">
        <f>F132*G132</f>
        <v/>
      </c>
      <c r="I132" t="inlineStr">
        <is>
          <t>Partner</t>
        </is>
      </c>
    </row>
    <row r="133">
      <c r="A133" t="inlineStr">
        <is>
          <t>SO-10131</t>
        </is>
      </c>
      <c r="B133" t="inlineStr">
        <is>
          <t>2026-07-12</t>
        </is>
      </c>
      <c r="C133">
        <f>TEXT(DATEVALUE(B133),"yyyy-mm")</f>
        <v/>
      </c>
      <c r="D133" t="inlineStr">
        <is>
          <t>South</t>
        </is>
      </c>
      <c r="E133" t="inlineStr">
        <is>
          <t>Training</t>
        </is>
      </c>
      <c r="F133" t="n">
        <v>11</v>
      </c>
      <c r="G133" t="n">
        <v>199</v>
      </c>
      <c r="H133">
        <f>F133*G133</f>
        <v/>
      </c>
      <c r="I133" t="inlineStr">
        <is>
          <t>Partner</t>
        </is>
      </c>
    </row>
    <row r="134">
      <c r="A134" t="inlineStr">
        <is>
          <t>SO-10132</t>
        </is>
      </c>
      <c r="B134" t="inlineStr">
        <is>
          <t>2026-09-26</t>
        </is>
      </c>
      <c r="C134">
        <f>TEXT(DATEVALUE(B134),"yyyy-mm")</f>
        <v/>
      </c>
      <c r="D134" t="inlineStr">
        <is>
          <t>North</t>
        </is>
      </c>
      <c r="E134" t="inlineStr">
        <is>
          <t>Training</t>
        </is>
      </c>
      <c r="F134" t="n">
        <v>24</v>
      </c>
      <c r="G134" t="n">
        <v>49</v>
      </c>
      <c r="H134">
        <f>F134*G134</f>
        <v/>
      </c>
      <c r="I134" t="inlineStr">
        <is>
          <t>Direct</t>
        </is>
      </c>
    </row>
    <row r="135">
      <c r="A135" t="inlineStr">
        <is>
          <t>SO-10133</t>
        </is>
      </c>
      <c r="B135" t="inlineStr">
        <is>
          <t>2026-06-28</t>
        </is>
      </c>
      <c r="C135">
        <f>TEXT(DATEVALUE(B135),"yyyy-mm")</f>
        <v/>
      </c>
      <c r="D135" t="inlineStr">
        <is>
          <t>North</t>
        </is>
      </c>
      <c r="E135" t="inlineStr">
        <is>
          <t>Training</t>
        </is>
      </c>
      <c r="F135" t="n">
        <v>1</v>
      </c>
      <c r="G135" t="n">
        <v>349</v>
      </c>
      <c r="H135">
        <f>F135*G135</f>
        <v/>
      </c>
      <c r="I135" t="inlineStr">
        <is>
          <t>Direct</t>
        </is>
      </c>
    </row>
    <row r="136">
      <c r="A136" t="inlineStr">
        <is>
          <t>SO-10134</t>
        </is>
      </c>
      <c r="B136" t="inlineStr">
        <is>
          <t>2026-01-17</t>
        </is>
      </c>
      <c r="C136">
        <f>TEXT(DATEVALUE(B136),"yyyy-mm")</f>
        <v/>
      </c>
      <c r="D136" t="inlineStr">
        <is>
          <t>North</t>
        </is>
      </c>
      <c r="E136" t="inlineStr">
        <is>
          <t>Training</t>
        </is>
      </c>
      <c r="F136" t="n">
        <v>12</v>
      </c>
      <c r="G136" t="n">
        <v>49</v>
      </c>
      <c r="H136">
        <f>F136*G136</f>
        <v/>
      </c>
      <c r="I136" t="inlineStr">
        <is>
          <t>Partner</t>
        </is>
      </c>
    </row>
    <row r="137">
      <c r="A137" t="inlineStr">
        <is>
          <t>SO-10135</t>
        </is>
      </c>
      <c r="B137" t="inlineStr">
        <is>
          <t>2026-03-08</t>
        </is>
      </c>
      <c r="C137">
        <f>TEXT(DATEVALUE(B137),"yyyy-mm")</f>
        <v/>
      </c>
      <c r="D137" t="inlineStr">
        <is>
          <t>West</t>
        </is>
      </c>
      <c r="E137" t="inlineStr">
        <is>
          <t>Software</t>
        </is>
      </c>
      <c r="F137" t="n">
        <v>24</v>
      </c>
      <c r="G137" t="n">
        <v>99</v>
      </c>
      <c r="H137">
        <f>F137*G137</f>
        <v/>
      </c>
      <c r="I137" t="inlineStr">
        <is>
          <t>Partner</t>
        </is>
      </c>
    </row>
    <row r="138">
      <c r="A138" t="inlineStr">
        <is>
          <t>SO-10136</t>
        </is>
      </c>
      <c r="B138" t="inlineStr">
        <is>
          <t>2026-04-13</t>
        </is>
      </c>
      <c r="C138">
        <f>TEXT(DATEVALUE(B138),"yyyy-mm")</f>
        <v/>
      </c>
      <c r="D138" t="inlineStr">
        <is>
          <t>East</t>
        </is>
      </c>
      <c r="E138" t="inlineStr">
        <is>
          <t>Services</t>
        </is>
      </c>
      <c r="F138" t="n">
        <v>14</v>
      </c>
      <c r="G138" t="n">
        <v>799</v>
      </c>
      <c r="H138">
        <f>F138*G138</f>
        <v/>
      </c>
      <c r="I138" t="inlineStr">
        <is>
          <t>Web</t>
        </is>
      </c>
    </row>
    <row r="139">
      <c r="A139" t="inlineStr">
        <is>
          <t>SO-10137</t>
        </is>
      </c>
      <c r="B139" t="inlineStr">
        <is>
          <t>2026-08-10</t>
        </is>
      </c>
      <c r="C139">
        <f>TEXT(DATEVALUE(B139),"yyyy-mm")</f>
        <v/>
      </c>
      <c r="D139" t="inlineStr">
        <is>
          <t>East</t>
        </is>
      </c>
      <c r="E139" t="inlineStr">
        <is>
          <t>Software</t>
        </is>
      </c>
      <c r="F139" t="n">
        <v>24</v>
      </c>
      <c r="G139" t="n">
        <v>49</v>
      </c>
      <c r="H139">
        <f>F139*G139</f>
        <v/>
      </c>
      <c r="I139" t="inlineStr">
        <is>
          <t>Web</t>
        </is>
      </c>
    </row>
    <row r="140">
      <c r="A140" t="inlineStr">
        <is>
          <t>SO-10138</t>
        </is>
      </c>
      <c r="B140" t="inlineStr">
        <is>
          <t>2026-01-25</t>
        </is>
      </c>
      <c r="C140">
        <f>TEXT(DATEVALUE(B140),"yyyy-mm")</f>
        <v/>
      </c>
      <c r="D140" t="inlineStr">
        <is>
          <t>West</t>
        </is>
      </c>
      <c r="E140" t="inlineStr">
        <is>
          <t>Hardware</t>
        </is>
      </c>
      <c r="F140" t="n">
        <v>15</v>
      </c>
      <c r="G140" t="n">
        <v>49</v>
      </c>
      <c r="H140">
        <f>F140*G140</f>
        <v/>
      </c>
      <c r="I140" t="inlineStr">
        <is>
          <t>Partner</t>
        </is>
      </c>
    </row>
    <row r="141">
      <c r="A141" t="inlineStr">
        <is>
          <t>SO-10139</t>
        </is>
      </c>
      <c r="B141" t="inlineStr">
        <is>
          <t>2026-02-07</t>
        </is>
      </c>
      <c r="C141">
        <f>TEXT(DATEVALUE(B141),"yyyy-mm")</f>
        <v/>
      </c>
      <c r="D141" t="inlineStr">
        <is>
          <t>South</t>
        </is>
      </c>
      <c r="E141" t="inlineStr">
        <is>
          <t>Software</t>
        </is>
      </c>
      <c r="F141" t="n">
        <v>6</v>
      </c>
      <c r="G141" t="n">
        <v>199</v>
      </c>
      <c r="H141">
        <f>F141*G141</f>
        <v/>
      </c>
      <c r="I141" t="inlineStr">
        <is>
          <t>Direct</t>
        </is>
      </c>
    </row>
    <row r="142">
      <c r="A142" t="inlineStr">
        <is>
          <t>SO-10140</t>
        </is>
      </c>
      <c r="B142" t="inlineStr">
        <is>
          <t>2026-08-20</t>
        </is>
      </c>
      <c r="C142">
        <f>TEXT(DATEVALUE(B142),"yyyy-mm")</f>
        <v/>
      </c>
      <c r="D142" t="inlineStr">
        <is>
          <t>West</t>
        </is>
      </c>
      <c r="E142" t="inlineStr">
        <is>
          <t>Software</t>
        </is>
      </c>
      <c r="F142" t="n">
        <v>17</v>
      </c>
      <c r="G142" t="n">
        <v>99</v>
      </c>
      <c r="H142">
        <f>F142*G142</f>
        <v/>
      </c>
      <c r="I142" t="inlineStr">
        <is>
          <t>Partner</t>
        </is>
      </c>
    </row>
    <row r="143">
      <c r="A143" t="inlineStr">
        <is>
          <t>SO-10141</t>
        </is>
      </c>
      <c r="B143" t="inlineStr">
        <is>
          <t>2026-07-06</t>
        </is>
      </c>
      <c r="C143">
        <f>TEXT(DATEVALUE(B143),"yyyy-mm")</f>
        <v/>
      </c>
      <c r="D143" t="inlineStr">
        <is>
          <t>West</t>
        </is>
      </c>
      <c r="E143" t="inlineStr">
        <is>
          <t>Services</t>
        </is>
      </c>
      <c r="F143" t="n">
        <v>25</v>
      </c>
      <c r="G143" t="n">
        <v>199</v>
      </c>
      <c r="H143">
        <f>F143*G143</f>
        <v/>
      </c>
      <c r="I143" t="inlineStr">
        <is>
          <t>Partner</t>
        </is>
      </c>
    </row>
    <row r="144">
      <c r="A144" t="inlineStr">
        <is>
          <t>SO-10142</t>
        </is>
      </c>
      <c r="B144" t="inlineStr">
        <is>
          <t>2026-07-11</t>
        </is>
      </c>
      <c r="C144">
        <f>TEXT(DATEVALUE(B144),"yyyy-mm")</f>
        <v/>
      </c>
      <c r="D144" t="inlineStr">
        <is>
          <t>North</t>
        </is>
      </c>
      <c r="E144" t="inlineStr">
        <is>
          <t>Training</t>
        </is>
      </c>
      <c r="F144" t="n">
        <v>22</v>
      </c>
      <c r="G144" t="n">
        <v>799</v>
      </c>
      <c r="H144">
        <f>F144*G144</f>
        <v/>
      </c>
      <c r="I144" t="inlineStr">
        <is>
          <t>Web</t>
        </is>
      </c>
    </row>
    <row r="145">
      <c r="A145" t="inlineStr">
        <is>
          <t>SO-10143</t>
        </is>
      </c>
      <c r="B145" t="inlineStr">
        <is>
          <t>2026-07-02</t>
        </is>
      </c>
      <c r="C145">
        <f>TEXT(DATEVALUE(B145),"yyyy-mm")</f>
        <v/>
      </c>
      <c r="D145" t="inlineStr">
        <is>
          <t>West</t>
        </is>
      </c>
      <c r="E145" t="inlineStr">
        <is>
          <t>Services</t>
        </is>
      </c>
      <c r="F145" t="n">
        <v>7</v>
      </c>
      <c r="G145" t="n">
        <v>99</v>
      </c>
      <c r="H145">
        <f>F145*G145</f>
        <v/>
      </c>
      <c r="I145" t="inlineStr">
        <is>
          <t>Web</t>
        </is>
      </c>
    </row>
    <row r="146">
      <c r="A146" t="inlineStr">
        <is>
          <t>SO-10144</t>
        </is>
      </c>
      <c r="B146" t="inlineStr">
        <is>
          <t>2026-04-01</t>
        </is>
      </c>
      <c r="C146">
        <f>TEXT(DATEVALUE(B146),"yyyy-mm")</f>
        <v/>
      </c>
      <c r="D146" t="inlineStr">
        <is>
          <t>West</t>
        </is>
      </c>
      <c r="E146" t="inlineStr">
        <is>
          <t>Software</t>
        </is>
      </c>
      <c r="F146" t="n">
        <v>16</v>
      </c>
      <c r="G146" t="n">
        <v>199</v>
      </c>
      <c r="H146">
        <f>F146*G146</f>
        <v/>
      </c>
      <c r="I146" t="inlineStr">
        <is>
          <t>Direct</t>
        </is>
      </c>
    </row>
    <row r="147">
      <c r="A147" t="inlineStr">
        <is>
          <t>SO-10145</t>
        </is>
      </c>
      <c r="B147" t="inlineStr">
        <is>
          <t>2026-07-20</t>
        </is>
      </c>
      <c r="C147">
        <f>TEXT(DATEVALUE(B147),"yyyy-mm")</f>
        <v/>
      </c>
      <c r="D147" t="inlineStr">
        <is>
          <t>South</t>
        </is>
      </c>
      <c r="E147" t="inlineStr">
        <is>
          <t>Services</t>
        </is>
      </c>
      <c r="F147" t="n">
        <v>6</v>
      </c>
      <c r="G147" t="n">
        <v>349</v>
      </c>
      <c r="H147">
        <f>F147*G147</f>
        <v/>
      </c>
      <c r="I147" t="inlineStr">
        <is>
          <t>Web</t>
        </is>
      </c>
    </row>
    <row r="148">
      <c r="A148" t="inlineStr">
        <is>
          <t>SO-10146</t>
        </is>
      </c>
      <c r="B148" t="inlineStr">
        <is>
          <t>2026-05-28</t>
        </is>
      </c>
      <c r="C148">
        <f>TEXT(DATEVALUE(B148),"yyyy-mm")</f>
        <v/>
      </c>
      <c r="D148" t="inlineStr">
        <is>
          <t>East</t>
        </is>
      </c>
      <c r="E148" t="inlineStr">
        <is>
          <t>Hardware</t>
        </is>
      </c>
      <c r="F148" t="n">
        <v>17</v>
      </c>
      <c r="G148" t="n">
        <v>99</v>
      </c>
      <c r="H148">
        <f>F148*G148</f>
        <v/>
      </c>
      <c r="I148" t="inlineStr">
        <is>
          <t>Web</t>
        </is>
      </c>
    </row>
    <row r="149">
      <c r="A149" t="inlineStr">
        <is>
          <t>SO-10147</t>
        </is>
      </c>
      <c r="B149" t="inlineStr">
        <is>
          <t>2026-03-01</t>
        </is>
      </c>
      <c r="C149">
        <f>TEXT(DATEVALUE(B149),"yyyy-mm")</f>
        <v/>
      </c>
      <c r="D149" t="inlineStr">
        <is>
          <t>South</t>
        </is>
      </c>
      <c r="E149" t="inlineStr">
        <is>
          <t>Hardware</t>
        </is>
      </c>
      <c r="F149" t="n">
        <v>7</v>
      </c>
      <c r="G149" t="n">
        <v>99</v>
      </c>
      <c r="H149">
        <f>F149*G149</f>
        <v/>
      </c>
      <c r="I149" t="inlineStr">
        <is>
          <t>Partner</t>
        </is>
      </c>
    </row>
    <row r="150">
      <c r="A150" t="inlineStr">
        <is>
          <t>SO-10148</t>
        </is>
      </c>
      <c r="B150" t="inlineStr">
        <is>
          <t>2026-05-20</t>
        </is>
      </c>
      <c r="C150">
        <f>TEXT(DATEVALUE(B150),"yyyy-mm")</f>
        <v/>
      </c>
      <c r="D150" t="inlineStr">
        <is>
          <t>North</t>
        </is>
      </c>
      <c r="E150" t="inlineStr">
        <is>
          <t>Training</t>
        </is>
      </c>
      <c r="F150" t="n">
        <v>23</v>
      </c>
      <c r="G150" t="n">
        <v>799</v>
      </c>
      <c r="H150">
        <f>F150*G150</f>
        <v/>
      </c>
      <c r="I150" t="inlineStr">
        <is>
          <t>Direct</t>
        </is>
      </c>
    </row>
    <row r="151">
      <c r="A151" t="inlineStr">
        <is>
          <t>SO-10149</t>
        </is>
      </c>
      <c r="B151" t="inlineStr">
        <is>
          <t>2026-08-03</t>
        </is>
      </c>
      <c r="C151">
        <f>TEXT(DATEVALUE(B151),"yyyy-mm")</f>
        <v/>
      </c>
      <c r="D151" t="inlineStr">
        <is>
          <t>East</t>
        </is>
      </c>
      <c r="E151" t="inlineStr">
        <is>
          <t>Hardware</t>
        </is>
      </c>
      <c r="F151" t="n">
        <v>24</v>
      </c>
      <c r="G151" t="n">
        <v>799</v>
      </c>
      <c r="H151">
        <f>F151*G151</f>
        <v/>
      </c>
      <c r="I151" t="inlineStr">
        <is>
          <t>Web</t>
        </is>
      </c>
    </row>
    <row r="152">
      <c r="A152" t="inlineStr">
        <is>
          <t>SO-10150</t>
        </is>
      </c>
      <c r="B152" t="inlineStr">
        <is>
          <t>2026-07-07</t>
        </is>
      </c>
      <c r="C152">
        <f>TEXT(DATEVALUE(B152),"yyyy-mm")</f>
        <v/>
      </c>
      <c r="D152" t="inlineStr">
        <is>
          <t>West</t>
        </is>
      </c>
      <c r="E152" t="inlineStr">
        <is>
          <t>Software</t>
        </is>
      </c>
      <c r="F152" t="n">
        <v>22</v>
      </c>
      <c r="G152" t="n">
        <v>49</v>
      </c>
      <c r="H152">
        <f>F152*G152</f>
        <v/>
      </c>
      <c r="I152" t="inlineStr">
        <is>
          <t>Web</t>
        </is>
      </c>
    </row>
    <row r="153">
      <c r="A153" t="inlineStr">
        <is>
          <t>SO-10151</t>
        </is>
      </c>
      <c r="B153" t="inlineStr">
        <is>
          <t>2026-09-14</t>
        </is>
      </c>
      <c r="C153">
        <f>TEXT(DATEVALUE(B153),"yyyy-mm")</f>
        <v/>
      </c>
      <c r="D153" t="inlineStr">
        <is>
          <t>South</t>
        </is>
      </c>
      <c r="E153" t="inlineStr">
        <is>
          <t>Services</t>
        </is>
      </c>
      <c r="F153" t="n">
        <v>17</v>
      </c>
      <c r="G153" t="n">
        <v>349</v>
      </c>
      <c r="H153">
        <f>F153*G153</f>
        <v/>
      </c>
      <c r="I153" t="inlineStr">
        <is>
          <t>Partner</t>
        </is>
      </c>
    </row>
    <row r="154">
      <c r="A154" t="inlineStr">
        <is>
          <t>SO-10152</t>
        </is>
      </c>
      <c r="B154" t="inlineStr">
        <is>
          <t>2026-05-13</t>
        </is>
      </c>
      <c r="C154">
        <f>TEXT(DATEVALUE(B154),"yyyy-mm")</f>
        <v/>
      </c>
      <c r="D154" t="inlineStr">
        <is>
          <t>East</t>
        </is>
      </c>
      <c r="E154" t="inlineStr">
        <is>
          <t>Training</t>
        </is>
      </c>
      <c r="F154" t="n">
        <v>3</v>
      </c>
      <c r="G154" t="n">
        <v>799</v>
      </c>
      <c r="H154">
        <f>F154*G154</f>
        <v/>
      </c>
      <c r="I154" t="inlineStr">
        <is>
          <t>Direct</t>
        </is>
      </c>
    </row>
    <row r="155">
      <c r="A155" t="inlineStr">
        <is>
          <t>SO-10153</t>
        </is>
      </c>
      <c r="B155" t="inlineStr">
        <is>
          <t>2026-02-12</t>
        </is>
      </c>
      <c r="C155">
        <f>TEXT(DATEVALUE(B155),"yyyy-mm")</f>
        <v/>
      </c>
      <c r="D155" t="inlineStr">
        <is>
          <t>North</t>
        </is>
      </c>
      <c r="E155" t="inlineStr">
        <is>
          <t>Training</t>
        </is>
      </c>
      <c r="F155" t="n">
        <v>3</v>
      </c>
      <c r="G155" t="n">
        <v>99</v>
      </c>
      <c r="H155">
        <f>F155*G155</f>
        <v/>
      </c>
      <c r="I155" t="inlineStr">
        <is>
          <t>Direct</t>
        </is>
      </c>
    </row>
    <row r="156">
      <c r="A156" t="inlineStr">
        <is>
          <t>SO-10154</t>
        </is>
      </c>
      <c r="B156" t="inlineStr">
        <is>
          <t>2026-08-24</t>
        </is>
      </c>
      <c r="C156">
        <f>TEXT(DATEVALUE(B156),"yyyy-mm")</f>
        <v/>
      </c>
      <c r="D156" t="inlineStr">
        <is>
          <t>North</t>
        </is>
      </c>
      <c r="E156" t="inlineStr">
        <is>
          <t>Training</t>
        </is>
      </c>
      <c r="F156" t="n">
        <v>4</v>
      </c>
      <c r="G156" t="n">
        <v>349</v>
      </c>
      <c r="H156">
        <f>F156*G156</f>
        <v/>
      </c>
      <c r="I156" t="inlineStr">
        <is>
          <t>Direct</t>
        </is>
      </c>
    </row>
    <row r="157">
      <c r="A157" t="inlineStr">
        <is>
          <t>SO-10155</t>
        </is>
      </c>
      <c r="B157" t="inlineStr">
        <is>
          <t>2026-08-08</t>
        </is>
      </c>
      <c r="C157">
        <f>TEXT(DATEVALUE(B157),"yyyy-mm")</f>
        <v/>
      </c>
      <c r="D157" t="inlineStr">
        <is>
          <t>North</t>
        </is>
      </c>
      <c r="E157" t="inlineStr">
        <is>
          <t>Training</t>
        </is>
      </c>
      <c r="F157" t="n">
        <v>10</v>
      </c>
      <c r="G157" t="n">
        <v>799</v>
      </c>
      <c r="H157">
        <f>F157*G157</f>
        <v/>
      </c>
      <c r="I157" t="inlineStr">
        <is>
          <t>Web</t>
        </is>
      </c>
    </row>
    <row r="158">
      <c r="A158" t="inlineStr">
        <is>
          <t>SO-10156</t>
        </is>
      </c>
      <c r="B158" t="inlineStr">
        <is>
          <t>2026-04-20</t>
        </is>
      </c>
      <c r="C158">
        <f>TEXT(DATEVALUE(B158),"yyyy-mm")</f>
        <v/>
      </c>
      <c r="D158" t="inlineStr">
        <is>
          <t>West</t>
        </is>
      </c>
      <c r="E158" t="inlineStr">
        <is>
          <t>Services</t>
        </is>
      </c>
      <c r="F158" t="n">
        <v>5</v>
      </c>
      <c r="G158" t="n">
        <v>199</v>
      </c>
      <c r="H158">
        <f>F158*G158</f>
        <v/>
      </c>
      <c r="I158" t="inlineStr">
        <is>
          <t>Partner</t>
        </is>
      </c>
    </row>
    <row r="159">
      <c r="A159" t="inlineStr">
        <is>
          <t>SO-10157</t>
        </is>
      </c>
      <c r="B159" t="inlineStr">
        <is>
          <t>2026-07-18</t>
        </is>
      </c>
      <c r="C159">
        <f>TEXT(DATEVALUE(B159),"yyyy-mm")</f>
        <v/>
      </c>
      <c r="D159" t="inlineStr">
        <is>
          <t>East</t>
        </is>
      </c>
      <c r="E159" t="inlineStr">
        <is>
          <t>Software</t>
        </is>
      </c>
      <c r="F159" t="n">
        <v>22</v>
      </c>
      <c r="G159" t="n">
        <v>49</v>
      </c>
      <c r="H159">
        <f>F159*G159</f>
        <v/>
      </c>
      <c r="I159" t="inlineStr">
        <is>
          <t>Web</t>
        </is>
      </c>
    </row>
    <row r="160">
      <c r="A160" t="inlineStr">
        <is>
          <t>SO-10158</t>
        </is>
      </c>
      <c r="B160" t="inlineStr">
        <is>
          <t>2026-07-24</t>
        </is>
      </c>
      <c r="C160">
        <f>TEXT(DATEVALUE(B160),"yyyy-mm")</f>
        <v/>
      </c>
      <c r="D160" t="inlineStr">
        <is>
          <t>East</t>
        </is>
      </c>
      <c r="E160" t="inlineStr">
        <is>
          <t>Services</t>
        </is>
      </c>
      <c r="F160" t="n">
        <v>4</v>
      </c>
      <c r="G160" t="n">
        <v>199</v>
      </c>
      <c r="H160">
        <f>F160*G160</f>
        <v/>
      </c>
      <c r="I160" t="inlineStr">
        <is>
          <t>Direct</t>
        </is>
      </c>
    </row>
    <row r="161">
      <c r="A161" t="inlineStr">
        <is>
          <t>SO-10159</t>
        </is>
      </c>
      <c r="B161" t="inlineStr">
        <is>
          <t>2026-08-24</t>
        </is>
      </c>
      <c r="C161">
        <f>TEXT(DATEVALUE(B161),"yyyy-mm")</f>
        <v/>
      </c>
      <c r="D161" t="inlineStr">
        <is>
          <t>West</t>
        </is>
      </c>
      <c r="E161" t="inlineStr">
        <is>
          <t>Training</t>
        </is>
      </c>
      <c r="F161" t="n">
        <v>21</v>
      </c>
      <c r="G161" t="n">
        <v>199</v>
      </c>
      <c r="H161">
        <f>F161*G161</f>
        <v/>
      </c>
      <c r="I161" t="inlineStr">
        <is>
          <t>Web</t>
        </is>
      </c>
    </row>
    <row r="162">
      <c r="A162" t="inlineStr">
        <is>
          <t>SO-10160</t>
        </is>
      </c>
      <c r="B162" t="inlineStr">
        <is>
          <t>2026-02-05</t>
        </is>
      </c>
      <c r="C162">
        <f>TEXT(DATEVALUE(B162),"yyyy-mm")</f>
        <v/>
      </c>
      <c r="D162" t="inlineStr">
        <is>
          <t>South</t>
        </is>
      </c>
      <c r="E162" t="inlineStr">
        <is>
          <t>Software</t>
        </is>
      </c>
      <c r="F162" t="n">
        <v>20</v>
      </c>
      <c r="G162" t="n">
        <v>49</v>
      </c>
      <c r="H162">
        <f>F162*G162</f>
        <v/>
      </c>
      <c r="I162" t="inlineStr">
        <is>
          <t>Web</t>
        </is>
      </c>
    </row>
    <row r="163">
      <c r="A163" t="inlineStr">
        <is>
          <t>SO-10161</t>
        </is>
      </c>
      <c r="B163" t="inlineStr">
        <is>
          <t>2026-04-13</t>
        </is>
      </c>
      <c r="C163">
        <f>TEXT(DATEVALUE(B163),"yyyy-mm")</f>
        <v/>
      </c>
      <c r="D163" t="inlineStr">
        <is>
          <t>North</t>
        </is>
      </c>
      <c r="E163" t="inlineStr">
        <is>
          <t>Hardware</t>
        </is>
      </c>
      <c r="F163" t="n">
        <v>2</v>
      </c>
      <c r="G163" t="n">
        <v>349</v>
      </c>
      <c r="H163">
        <f>F163*G163</f>
        <v/>
      </c>
      <c r="I163" t="inlineStr">
        <is>
          <t>Web</t>
        </is>
      </c>
    </row>
    <row r="164">
      <c r="A164" t="inlineStr">
        <is>
          <t>SO-10162</t>
        </is>
      </c>
      <c r="B164" t="inlineStr">
        <is>
          <t>2026-01-06</t>
        </is>
      </c>
      <c r="C164">
        <f>TEXT(DATEVALUE(B164),"yyyy-mm")</f>
        <v/>
      </c>
      <c r="D164" t="inlineStr">
        <is>
          <t>West</t>
        </is>
      </c>
      <c r="E164" t="inlineStr">
        <is>
          <t>Hardware</t>
        </is>
      </c>
      <c r="F164" t="n">
        <v>4</v>
      </c>
      <c r="G164" t="n">
        <v>349</v>
      </c>
      <c r="H164">
        <f>F164*G164</f>
        <v/>
      </c>
      <c r="I164" t="inlineStr">
        <is>
          <t>Partner</t>
        </is>
      </c>
    </row>
    <row r="165">
      <c r="A165" t="inlineStr">
        <is>
          <t>SO-10163</t>
        </is>
      </c>
      <c r="B165" t="inlineStr">
        <is>
          <t>2026-07-17</t>
        </is>
      </c>
      <c r="C165">
        <f>TEXT(DATEVALUE(B165),"yyyy-mm")</f>
        <v/>
      </c>
      <c r="D165" t="inlineStr">
        <is>
          <t>South</t>
        </is>
      </c>
      <c r="E165" t="inlineStr">
        <is>
          <t>Training</t>
        </is>
      </c>
      <c r="F165" t="n">
        <v>5</v>
      </c>
      <c r="G165" t="n">
        <v>99</v>
      </c>
      <c r="H165">
        <f>F165*G165</f>
        <v/>
      </c>
      <c r="I165" t="inlineStr">
        <is>
          <t>Partner</t>
        </is>
      </c>
    </row>
    <row r="166">
      <c r="A166" t="inlineStr">
        <is>
          <t>SO-10164</t>
        </is>
      </c>
      <c r="B166" t="inlineStr">
        <is>
          <t>2026-06-14</t>
        </is>
      </c>
      <c r="C166">
        <f>TEXT(DATEVALUE(B166),"yyyy-mm")</f>
        <v/>
      </c>
      <c r="D166" t="inlineStr">
        <is>
          <t>West</t>
        </is>
      </c>
      <c r="E166" t="inlineStr">
        <is>
          <t>Services</t>
        </is>
      </c>
      <c r="F166" t="n">
        <v>20</v>
      </c>
      <c r="G166" t="n">
        <v>49</v>
      </c>
      <c r="H166">
        <f>F166*G166</f>
        <v/>
      </c>
      <c r="I166" t="inlineStr">
        <is>
          <t>Web</t>
        </is>
      </c>
    </row>
    <row r="167">
      <c r="A167" t="inlineStr">
        <is>
          <t>SO-10165</t>
        </is>
      </c>
      <c r="B167" t="inlineStr">
        <is>
          <t>2026-09-01</t>
        </is>
      </c>
      <c r="C167">
        <f>TEXT(DATEVALUE(B167),"yyyy-mm")</f>
        <v/>
      </c>
      <c r="D167" t="inlineStr">
        <is>
          <t>South</t>
        </is>
      </c>
      <c r="E167" t="inlineStr">
        <is>
          <t>Services</t>
        </is>
      </c>
      <c r="F167" t="n">
        <v>9</v>
      </c>
      <c r="G167" t="n">
        <v>199</v>
      </c>
      <c r="H167">
        <f>F167*G167</f>
        <v/>
      </c>
      <c r="I167" t="inlineStr">
        <is>
          <t>Partner</t>
        </is>
      </c>
    </row>
    <row r="168">
      <c r="A168" t="inlineStr">
        <is>
          <t>SO-10166</t>
        </is>
      </c>
      <c r="B168" t="inlineStr">
        <is>
          <t>2026-08-04</t>
        </is>
      </c>
      <c r="C168">
        <f>TEXT(DATEVALUE(B168),"yyyy-mm")</f>
        <v/>
      </c>
      <c r="D168" t="inlineStr">
        <is>
          <t>South</t>
        </is>
      </c>
      <c r="E168" t="inlineStr">
        <is>
          <t>Services</t>
        </is>
      </c>
      <c r="F168" t="n">
        <v>18</v>
      </c>
      <c r="G168" t="n">
        <v>349</v>
      </c>
      <c r="H168">
        <f>F168*G168</f>
        <v/>
      </c>
      <c r="I168" t="inlineStr">
        <is>
          <t>Partner</t>
        </is>
      </c>
    </row>
    <row r="169">
      <c r="A169" t="inlineStr">
        <is>
          <t>SO-10167</t>
        </is>
      </c>
      <c r="B169" t="inlineStr">
        <is>
          <t>2026-02-20</t>
        </is>
      </c>
      <c r="C169">
        <f>TEXT(DATEVALUE(B169),"yyyy-mm")</f>
        <v/>
      </c>
      <c r="D169" t="inlineStr">
        <is>
          <t>East</t>
        </is>
      </c>
      <c r="E169" t="inlineStr">
        <is>
          <t>Services</t>
        </is>
      </c>
      <c r="F169" t="n">
        <v>23</v>
      </c>
      <c r="G169" t="n">
        <v>99</v>
      </c>
      <c r="H169">
        <f>F169*G169</f>
        <v/>
      </c>
      <c r="I169" t="inlineStr">
        <is>
          <t>Direct</t>
        </is>
      </c>
    </row>
    <row r="170">
      <c r="A170" t="inlineStr">
        <is>
          <t>SO-10168</t>
        </is>
      </c>
      <c r="B170" t="inlineStr">
        <is>
          <t>2026-04-12</t>
        </is>
      </c>
      <c r="C170">
        <f>TEXT(DATEVALUE(B170),"yyyy-mm")</f>
        <v/>
      </c>
      <c r="D170" t="inlineStr">
        <is>
          <t>South</t>
        </is>
      </c>
      <c r="E170" t="inlineStr">
        <is>
          <t>Software</t>
        </is>
      </c>
      <c r="F170" t="n">
        <v>20</v>
      </c>
      <c r="G170" t="n">
        <v>799</v>
      </c>
      <c r="H170">
        <f>F170*G170</f>
        <v/>
      </c>
      <c r="I170" t="inlineStr">
        <is>
          <t>Direct</t>
        </is>
      </c>
    </row>
    <row r="171">
      <c r="A171" t="inlineStr">
        <is>
          <t>SO-10169</t>
        </is>
      </c>
      <c r="B171" t="inlineStr">
        <is>
          <t>2026-04-19</t>
        </is>
      </c>
      <c r="C171">
        <f>TEXT(DATEVALUE(B171),"yyyy-mm")</f>
        <v/>
      </c>
      <c r="D171" t="inlineStr">
        <is>
          <t>North</t>
        </is>
      </c>
      <c r="E171" t="inlineStr">
        <is>
          <t>Software</t>
        </is>
      </c>
      <c r="F171" t="n">
        <v>1</v>
      </c>
      <c r="G171" t="n">
        <v>99</v>
      </c>
      <c r="H171">
        <f>F171*G171</f>
        <v/>
      </c>
      <c r="I171" t="inlineStr">
        <is>
          <t>Web</t>
        </is>
      </c>
    </row>
    <row r="172">
      <c r="A172" t="inlineStr">
        <is>
          <t>SO-10170</t>
        </is>
      </c>
      <c r="B172" t="inlineStr">
        <is>
          <t>2026-08-19</t>
        </is>
      </c>
      <c r="C172">
        <f>TEXT(DATEVALUE(B172),"yyyy-mm")</f>
        <v/>
      </c>
      <c r="D172" t="inlineStr">
        <is>
          <t>East</t>
        </is>
      </c>
      <c r="E172" t="inlineStr">
        <is>
          <t>Hardware</t>
        </is>
      </c>
      <c r="F172" t="n">
        <v>14</v>
      </c>
      <c r="G172" t="n">
        <v>199</v>
      </c>
      <c r="H172">
        <f>F172*G172</f>
        <v/>
      </c>
      <c r="I172" t="inlineStr">
        <is>
          <t>Partner</t>
        </is>
      </c>
    </row>
    <row r="173">
      <c r="A173" t="inlineStr">
        <is>
          <t>SO-10171</t>
        </is>
      </c>
      <c r="B173" t="inlineStr">
        <is>
          <t>2026-05-15</t>
        </is>
      </c>
      <c r="C173">
        <f>TEXT(DATEVALUE(B173),"yyyy-mm")</f>
        <v/>
      </c>
      <c r="D173" t="inlineStr">
        <is>
          <t>South</t>
        </is>
      </c>
      <c r="E173" t="inlineStr">
        <is>
          <t>Software</t>
        </is>
      </c>
      <c r="F173" t="n">
        <v>4</v>
      </c>
      <c r="G173" t="n">
        <v>349</v>
      </c>
      <c r="H173">
        <f>F173*G173</f>
        <v/>
      </c>
      <c r="I173" t="inlineStr">
        <is>
          <t>Direct</t>
        </is>
      </c>
    </row>
    <row r="174">
      <c r="A174" t="inlineStr">
        <is>
          <t>SO-10172</t>
        </is>
      </c>
      <c r="B174" t="inlineStr">
        <is>
          <t>2026-09-18</t>
        </is>
      </c>
      <c r="C174">
        <f>TEXT(DATEVALUE(B174),"yyyy-mm")</f>
        <v/>
      </c>
      <c r="D174" t="inlineStr">
        <is>
          <t>East</t>
        </is>
      </c>
      <c r="E174" t="inlineStr">
        <is>
          <t>Software</t>
        </is>
      </c>
      <c r="F174" t="n">
        <v>18</v>
      </c>
      <c r="G174" t="n">
        <v>49</v>
      </c>
      <c r="H174">
        <f>F174*G174</f>
        <v/>
      </c>
      <c r="I174" t="inlineStr">
        <is>
          <t>Direct</t>
        </is>
      </c>
    </row>
    <row r="175">
      <c r="A175" t="inlineStr">
        <is>
          <t>SO-10173</t>
        </is>
      </c>
      <c r="B175" t="inlineStr">
        <is>
          <t>2026-06-20</t>
        </is>
      </c>
      <c r="C175">
        <f>TEXT(DATEVALUE(B175),"yyyy-mm")</f>
        <v/>
      </c>
      <c r="D175" t="inlineStr">
        <is>
          <t>North</t>
        </is>
      </c>
      <c r="E175" t="inlineStr">
        <is>
          <t>Services</t>
        </is>
      </c>
      <c r="F175" t="n">
        <v>5</v>
      </c>
      <c r="G175" t="n">
        <v>49</v>
      </c>
      <c r="H175">
        <f>F175*G175</f>
        <v/>
      </c>
      <c r="I175" t="inlineStr">
        <is>
          <t>Direct</t>
        </is>
      </c>
    </row>
    <row r="176">
      <c r="A176" t="inlineStr">
        <is>
          <t>SO-10174</t>
        </is>
      </c>
      <c r="B176" t="inlineStr">
        <is>
          <t>2026-06-08</t>
        </is>
      </c>
      <c r="C176">
        <f>TEXT(DATEVALUE(B176),"yyyy-mm")</f>
        <v/>
      </c>
      <c r="D176" t="inlineStr">
        <is>
          <t>East</t>
        </is>
      </c>
      <c r="E176" t="inlineStr">
        <is>
          <t>Software</t>
        </is>
      </c>
      <c r="F176" t="n">
        <v>25</v>
      </c>
      <c r="G176" t="n">
        <v>799</v>
      </c>
      <c r="H176">
        <f>F176*G176</f>
        <v/>
      </c>
      <c r="I176" t="inlineStr">
        <is>
          <t>Web</t>
        </is>
      </c>
    </row>
    <row r="177">
      <c r="A177" t="inlineStr">
        <is>
          <t>SO-10175</t>
        </is>
      </c>
      <c r="B177" t="inlineStr">
        <is>
          <t>2026-09-26</t>
        </is>
      </c>
      <c r="C177">
        <f>TEXT(DATEVALUE(B177),"yyyy-mm")</f>
        <v/>
      </c>
      <c r="D177" t="inlineStr">
        <is>
          <t>North</t>
        </is>
      </c>
      <c r="E177" t="inlineStr">
        <is>
          <t>Training</t>
        </is>
      </c>
      <c r="F177" t="n">
        <v>3</v>
      </c>
      <c r="G177" t="n">
        <v>349</v>
      </c>
      <c r="H177">
        <f>F177*G177</f>
        <v/>
      </c>
      <c r="I177" t="inlineStr">
        <is>
          <t>Web</t>
        </is>
      </c>
    </row>
    <row r="178">
      <c r="A178" t="inlineStr">
        <is>
          <t>SO-10176</t>
        </is>
      </c>
      <c r="B178" t="inlineStr">
        <is>
          <t>2026-03-10</t>
        </is>
      </c>
      <c r="C178">
        <f>TEXT(DATEVALUE(B178),"yyyy-mm")</f>
        <v/>
      </c>
      <c r="D178" t="inlineStr">
        <is>
          <t>North</t>
        </is>
      </c>
      <c r="E178" t="inlineStr">
        <is>
          <t>Software</t>
        </is>
      </c>
      <c r="F178" t="n">
        <v>25</v>
      </c>
      <c r="G178" t="n">
        <v>349</v>
      </c>
      <c r="H178">
        <f>F178*G178</f>
        <v/>
      </c>
      <c r="I178" t="inlineStr">
        <is>
          <t>Web</t>
        </is>
      </c>
    </row>
    <row r="179">
      <c r="A179" t="inlineStr">
        <is>
          <t>SO-10177</t>
        </is>
      </c>
      <c r="B179" t="inlineStr">
        <is>
          <t>2026-07-15</t>
        </is>
      </c>
      <c r="C179">
        <f>TEXT(DATEVALUE(B179),"yyyy-mm")</f>
        <v/>
      </c>
      <c r="D179" t="inlineStr">
        <is>
          <t>West</t>
        </is>
      </c>
      <c r="E179" t="inlineStr">
        <is>
          <t>Hardware</t>
        </is>
      </c>
      <c r="F179" t="n">
        <v>2</v>
      </c>
      <c r="G179" t="n">
        <v>99</v>
      </c>
      <c r="H179">
        <f>F179*G179</f>
        <v/>
      </c>
      <c r="I179" t="inlineStr">
        <is>
          <t>Direct</t>
        </is>
      </c>
    </row>
    <row r="180">
      <c r="A180" t="inlineStr">
        <is>
          <t>SO-10178</t>
        </is>
      </c>
      <c r="B180" t="inlineStr">
        <is>
          <t>2026-07-06</t>
        </is>
      </c>
      <c r="C180">
        <f>TEXT(DATEVALUE(B180),"yyyy-mm")</f>
        <v/>
      </c>
      <c r="D180" t="inlineStr">
        <is>
          <t>South</t>
        </is>
      </c>
      <c r="E180" t="inlineStr">
        <is>
          <t>Services</t>
        </is>
      </c>
      <c r="F180" t="n">
        <v>11</v>
      </c>
      <c r="G180" t="n">
        <v>799</v>
      </c>
      <c r="H180">
        <f>F180*G180</f>
        <v/>
      </c>
      <c r="I180" t="inlineStr">
        <is>
          <t>Web</t>
        </is>
      </c>
    </row>
    <row r="181">
      <c r="A181" t="inlineStr">
        <is>
          <t>SO-10179</t>
        </is>
      </c>
      <c r="B181" t="inlineStr">
        <is>
          <t>2026-06-02</t>
        </is>
      </c>
      <c r="C181">
        <f>TEXT(DATEVALUE(B181),"yyyy-mm")</f>
        <v/>
      </c>
      <c r="D181" t="inlineStr">
        <is>
          <t>South</t>
        </is>
      </c>
      <c r="E181" t="inlineStr">
        <is>
          <t>Training</t>
        </is>
      </c>
      <c r="F181" t="n">
        <v>21</v>
      </c>
      <c r="G181" t="n">
        <v>49</v>
      </c>
      <c r="H181">
        <f>F181*G181</f>
        <v/>
      </c>
      <c r="I181" t="inlineStr">
        <is>
          <t>Partner</t>
        </is>
      </c>
    </row>
    <row r="182">
      <c r="A182" t="inlineStr">
        <is>
          <t>SO-10180</t>
        </is>
      </c>
      <c r="B182" t="inlineStr">
        <is>
          <t>2026-02-16</t>
        </is>
      </c>
      <c r="C182">
        <f>TEXT(DATEVALUE(B182),"yyyy-mm")</f>
        <v/>
      </c>
      <c r="D182" t="inlineStr">
        <is>
          <t>West</t>
        </is>
      </c>
      <c r="E182" t="inlineStr">
        <is>
          <t>Services</t>
        </is>
      </c>
      <c r="F182" t="n">
        <v>12</v>
      </c>
      <c r="G182" t="n">
        <v>349</v>
      </c>
      <c r="H182">
        <f>F182*G182</f>
        <v/>
      </c>
      <c r="I182" t="inlineStr">
        <is>
          <t>Partner</t>
        </is>
      </c>
    </row>
    <row r="183">
      <c r="A183" t="inlineStr">
        <is>
          <t>SO-10181</t>
        </is>
      </c>
      <c r="B183" t="inlineStr">
        <is>
          <t>2026-08-27</t>
        </is>
      </c>
      <c r="C183">
        <f>TEXT(DATEVALUE(B183),"yyyy-mm")</f>
        <v/>
      </c>
      <c r="D183" t="inlineStr">
        <is>
          <t>West</t>
        </is>
      </c>
      <c r="E183" t="inlineStr">
        <is>
          <t>Hardware</t>
        </is>
      </c>
      <c r="F183" t="n">
        <v>23</v>
      </c>
      <c r="G183" t="n">
        <v>349</v>
      </c>
      <c r="H183">
        <f>F183*G183</f>
        <v/>
      </c>
      <c r="I183" t="inlineStr">
        <is>
          <t>Direct</t>
        </is>
      </c>
    </row>
    <row r="184">
      <c r="A184" t="inlineStr">
        <is>
          <t>SO-10182</t>
        </is>
      </c>
      <c r="B184" t="inlineStr">
        <is>
          <t>2026-02-17</t>
        </is>
      </c>
      <c r="C184">
        <f>TEXT(DATEVALUE(B184),"yyyy-mm")</f>
        <v/>
      </c>
      <c r="D184" t="inlineStr">
        <is>
          <t>West</t>
        </is>
      </c>
      <c r="E184" t="inlineStr">
        <is>
          <t>Training</t>
        </is>
      </c>
      <c r="F184" t="n">
        <v>11</v>
      </c>
      <c r="G184" t="n">
        <v>799</v>
      </c>
      <c r="H184">
        <f>F184*G184</f>
        <v/>
      </c>
      <c r="I184" t="inlineStr">
        <is>
          <t>Web</t>
        </is>
      </c>
    </row>
    <row r="185">
      <c r="A185" t="inlineStr">
        <is>
          <t>SO-10183</t>
        </is>
      </c>
      <c r="B185" t="inlineStr">
        <is>
          <t>2026-06-02</t>
        </is>
      </c>
      <c r="C185">
        <f>TEXT(DATEVALUE(B185),"yyyy-mm")</f>
        <v/>
      </c>
      <c r="D185" t="inlineStr">
        <is>
          <t>West</t>
        </is>
      </c>
      <c r="E185" t="inlineStr">
        <is>
          <t>Training</t>
        </is>
      </c>
      <c r="F185" t="n">
        <v>10</v>
      </c>
      <c r="G185" t="n">
        <v>799</v>
      </c>
      <c r="H185">
        <f>F185*G185</f>
        <v/>
      </c>
      <c r="I185" t="inlineStr">
        <is>
          <t>Direct</t>
        </is>
      </c>
    </row>
    <row r="186">
      <c r="A186" t="inlineStr">
        <is>
          <t>SO-10184</t>
        </is>
      </c>
      <c r="B186" t="inlineStr">
        <is>
          <t>2026-06-25</t>
        </is>
      </c>
      <c r="C186">
        <f>TEXT(DATEVALUE(B186),"yyyy-mm")</f>
        <v/>
      </c>
      <c r="D186" t="inlineStr">
        <is>
          <t>North</t>
        </is>
      </c>
      <c r="E186" t="inlineStr">
        <is>
          <t>Software</t>
        </is>
      </c>
      <c r="F186" t="n">
        <v>10</v>
      </c>
      <c r="G186" t="n">
        <v>799</v>
      </c>
      <c r="H186">
        <f>F186*G186</f>
        <v/>
      </c>
      <c r="I186" t="inlineStr">
        <is>
          <t>Web</t>
        </is>
      </c>
    </row>
    <row r="187">
      <c r="A187" t="inlineStr">
        <is>
          <t>SO-10185</t>
        </is>
      </c>
      <c r="B187" t="inlineStr">
        <is>
          <t>2026-08-08</t>
        </is>
      </c>
      <c r="C187">
        <f>TEXT(DATEVALUE(B187),"yyyy-mm")</f>
        <v/>
      </c>
      <c r="D187" t="inlineStr">
        <is>
          <t>North</t>
        </is>
      </c>
      <c r="E187" t="inlineStr">
        <is>
          <t>Training</t>
        </is>
      </c>
      <c r="F187" t="n">
        <v>17</v>
      </c>
      <c r="G187" t="n">
        <v>349</v>
      </c>
      <c r="H187">
        <f>F187*G187</f>
        <v/>
      </c>
      <c r="I187" t="inlineStr">
        <is>
          <t>Direct</t>
        </is>
      </c>
    </row>
    <row r="188">
      <c r="A188" t="inlineStr">
        <is>
          <t>SO-10186</t>
        </is>
      </c>
      <c r="B188" t="inlineStr">
        <is>
          <t>2026-02-17</t>
        </is>
      </c>
      <c r="C188">
        <f>TEXT(DATEVALUE(B188),"yyyy-mm")</f>
        <v/>
      </c>
      <c r="D188" t="inlineStr">
        <is>
          <t>East</t>
        </is>
      </c>
      <c r="E188" t="inlineStr">
        <is>
          <t>Training</t>
        </is>
      </c>
      <c r="F188" t="n">
        <v>8</v>
      </c>
      <c r="G188" t="n">
        <v>799</v>
      </c>
      <c r="H188">
        <f>F188*G188</f>
        <v/>
      </c>
      <c r="I188" t="inlineStr">
        <is>
          <t>Web</t>
        </is>
      </c>
    </row>
    <row r="189">
      <c r="A189" t="inlineStr">
        <is>
          <t>SO-10187</t>
        </is>
      </c>
      <c r="B189" t="inlineStr">
        <is>
          <t>2026-02-24</t>
        </is>
      </c>
      <c r="C189">
        <f>TEXT(DATEVALUE(B189),"yyyy-mm")</f>
        <v/>
      </c>
      <c r="D189" t="inlineStr">
        <is>
          <t>West</t>
        </is>
      </c>
      <c r="E189" t="inlineStr">
        <is>
          <t>Software</t>
        </is>
      </c>
      <c r="F189" t="n">
        <v>22</v>
      </c>
      <c r="G189" t="n">
        <v>199</v>
      </c>
      <c r="H189">
        <f>F189*G189</f>
        <v/>
      </c>
      <c r="I189" t="inlineStr">
        <is>
          <t>Web</t>
        </is>
      </c>
    </row>
    <row r="190">
      <c r="A190" t="inlineStr">
        <is>
          <t>SO-10188</t>
        </is>
      </c>
      <c r="B190" t="inlineStr">
        <is>
          <t>2026-07-19</t>
        </is>
      </c>
      <c r="C190">
        <f>TEXT(DATEVALUE(B190),"yyyy-mm")</f>
        <v/>
      </c>
      <c r="D190" t="inlineStr">
        <is>
          <t>North</t>
        </is>
      </c>
      <c r="E190" t="inlineStr">
        <is>
          <t>Software</t>
        </is>
      </c>
      <c r="F190" t="n">
        <v>4</v>
      </c>
      <c r="G190" t="n">
        <v>49</v>
      </c>
      <c r="H190">
        <f>F190*G190</f>
        <v/>
      </c>
      <c r="I190" t="inlineStr">
        <is>
          <t>Web</t>
        </is>
      </c>
    </row>
    <row r="191">
      <c r="A191" t="inlineStr">
        <is>
          <t>SO-10189</t>
        </is>
      </c>
      <c r="B191" t="inlineStr">
        <is>
          <t>2026-09-19</t>
        </is>
      </c>
      <c r="C191">
        <f>TEXT(DATEVALUE(B191),"yyyy-mm")</f>
        <v/>
      </c>
      <c r="D191" t="inlineStr">
        <is>
          <t>East</t>
        </is>
      </c>
      <c r="E191" t="inlineStr">
        <is>
          <t>Software</t>
        </is>
      </c>
      <c r="F191" t="n">
        <v>15</v>
      </c>
      <c r="G191" t="n">
        <v>49</v>
      </c>
      <c r="H191">
        <f>F191*G191</f>
        <v/>
      </c>
      <c r="I191" t="inlineStr">
        <is>
          <t>Direct</t>
        </is>
      </c>
    </row>
    <row r="192">
      <c r="A192" t="inlineStr">
        <is>
          <t>SO-10190</t>
        </is>
      </c>
      <c r="B192" t="inlineStr">
        <is>
          <t>2026-05-01</t>
        </is>
      </c>
      <c r="C192">
        <f>TEXT(DATEVALUE(B192),"yyyy-mm")</f>
        <v/>
      </c>
      <c r="D192" t="inlineStr">
        <is>
          <t>North</t>
        </is>
      </c>
      <c r="E192" t="inlineStr">
        <is>
          <t>Training</t>
        </is>
      </c>
      <c r="F192" t="n">
        <v>11</v>
      </c>
      <c r="G192" t="n">
        <v>99</v>
      </c>
      <c r="H192">
        <f>F192*G192</f>
        <v/>
      </c>
      <c r="I192" t="inlineStr">
        <is>
          <t>Partner</t>
        </is>
      </c>
    </row>
    <row r="193">
      <c r="A193" t="inlineStr">
        <is>
          <t>SO-10191</t>
        </is>
      </c>
      <c r="B193" t="inlineStr">
        <is>
          <t>2026-09-13</t>
        </is>
      </c>
      <c r="C193">
        <f>TEXT(DATEVALUE(B193),"yyyy-mm")</f>
        <v/>
      </c>
      <c r="D193" t="inlineStr">
        <is>
          <t>South</t>
        </is>
      </c>
      <c r="E193" t="inlineStr">
        <is>
          <t>Hardware</t>
        </is>
      </c>
      <c r="F193" t="n">
        <v>5</v>
      </c>
      <c r="G193" t="n">
        <v>199</v>
      </c>
      <c r="H193">
        <f>F193*G193</f>
        <v/>
      </c>
      <c r="I193" t="inlineStr">
        <is>
          <t>Partner</t>
        </is>
      </c>
    </row>
    <row r="194">
      <c r="A194" t="inlineStr">
        <is>
          <t>SO-10192</t>
        </is>
      </c>
      <c r="B194" t="inlineStr">
        <is>
          <t>2026-01-15</t>
        </is>
      </c>
      <c r="C194">
        <f>TEXT(DATEVALUE(B194),"yyyy-mm")</f>
        <v/>
      </c>
      <c r="D194" t="inlineStr">
        <is>
          <t>East</t>
        </is>
      </c>
      <c r="E194" t="inlineStr">
        <is>
          <t>Training</t>
        </is>
      </c>
      <c r="F194" t="n">
        <v>11</v>
      </c>
      <c r="G194" t="n">
        <v>199</v>
      </c>
      <c r="H194">
        <f>F194*G194</f>
        <v/>
      </c>
      <c r="I194" t="inlineStr">
        <is>
          <t>Web</t>
        </is>
      </c>
    </row>
    <row r="195">
      <c r="A195" t="inlineStr">
        <is>
          <t>SO-10193</t>
        </is>
      </c>
      <c r="B195" t="inlineStr">
        <is>
          <t>2026-08-07</t>
        </is>
      </c>
      <c r="C195">
        <f>TEXT(DATEVALUE(B195),"yyyy-mm")</f>
        <v/>
      </c>
      <c r="D195" t="inlineStr">
        <is>
          <t>North</t>
        </is>
      </c>
      <c r="E195" t="inlineStr">
        <is>
          <t>Software</t>
        </is>
      </c>
      <c r="F195" t="n">
        <v>7</v>
      </c>
      <c r="G195" t="n">
        <v>199</v>
      </c>
      <c r="H195">
        <f>F195*G195</f>
        <v/>
      </c>
      <c r="I195" t="inlineStr">
        <is>
          <t>Partner</t>
        </is>
      </c>
    </row>
    <row r="196">
      <c r="A196" t="inlineStr">
        <is>
          <t>SO-10194</t>
        </is>
      </c>
      <c r="B196" t="inlineStr">
        <is>
          <t>2026-06-16</t>
        </is>
      </c>
      <c r="C196">
        <f>TEXT(DATEVALUE(B196),"yyyy-mm")</f>
        <v/>
      </c>
      <c r="D196" t="inlineStr">
        <is>
          <t>South</t>
        </is>
      </c>
      <c r="E196" t="inlineStr">
        <is>
          <t>Software</t>
        </is>
      </c>
      <c r="F196" t="n">
        <v>1</v>
      </c>
      <c r="G196" t="n">
        <v>99</v>
      </c>
      <c r="H196">
        <f>F196*G196</f>
        <v/>
      </c>
      <c r="I196" t="inlineStr">
        <is>
          <t>Web</t>
        </is>
      </c>
    </row>
    <row r="197">
      <c r="A197" t="inlineStr">
        <is>
          <t>SO-10195</t>
        </is>
      </c>
      <c r="B197" t="inlineStr">
        <is>
          <t>2026-01-21</t>
        </is>
      </c>
      <c r="C197">
        <f>TEXT(DATEVALUE(B197),"yyyy-mm")</f>
        <v/>
      </c>
      <c r="D197" t="inlineStr">
        <is>
          <t>East</t>
        </is>
      </c>
      <c r="E197" t="inlineStr">
        <is>
          <t>Services</t>
        </is>
      </c>
      <c r="F197" t="n">
        <v>4</v>
      </c>
      <c r="G197" t="n">
        <v>199</v>
      </c>
      <c r="H197">
        <f>F197*G197</f>
        <v/>
      </c>
      <c r="I197" t="inlineStr">
        <is>
          <t>Partner</t>
        </is>
      </c>
    </row>
    <row r="198">
      <c r="A198" t="inlineStr">
        <is>
          <t>SO-10196</t>
        </is>
      </c>
      <c r="B198" t="inlineStr">
        <is>
          <t>2026-03-11</t>
        </is>
      </c>
      <c r="C198">
        <f>TEXT(DATEVALUE(B198),"yyyy-mm")</f>
        <v/>
      </c>
      <c r="D198" t="inlineStr">
        <is>
          <t>West</t>
        </is>
      </c>
      <c r="E198" t="inlineStr">
        <is>
          <t>Hardware</t>
        </is>
      </c>
      <c r="F198" t="n">
        <v>23</v>
      </c>
      <c r="G198" t="n">
        <v>349</v>
      </c>
      <c r="H198">
        <f>F198*G198</f>
        <v/>
      </c>
      <c r="I198" t="inlineStr">
        <is>
          <t>Web</t>
        </is>
      </c>
    </row>
    <row r="199">
      <c r="A199" t="inlineStr">
        <is>
          <t>SO-10197</t>
        </is>
      </c>
      <c r="B199" t="inlineStr">
        <is>
          <t>2026-04-28</t>
        </is>
      </c>
      <c r="C199">
        <f>TEXT(DATEVALUE(B199),"yyyy-mm")</f>
        <v/>
      </c>
      <c r="D199" t="inlineStr">
        <is>
          <t>South</t>
        </is>
      </c>
      <c r="E199" t="inlineStr">
        <is>
          <t>Services</t>
        </is>
      </c>
      <c r="F199" t="n">
        <v>10</v>
      </c>
      <c r="G199" t="n">
        <v>49</v>
      </c>
      <c r="H199">
        <f>F199*G199</f>
        <v/>
      </c>
      <c r="I199" t="inlineStr">
        <is>
          <t>Web</t>
        </is>
      </c>
    </row>
    <row r="200">
      <c r="A200" t="inlineStr">
        <is>
          <t>SO-10198</t>
        </is>
      </c>
      <c r="B200" t="inlineStr">
        <is>
          <t>2026-04-17</t>
        </is>
      </c>
      <c r="C200">
        <f>TEXT(DATEVALUE(B200),"yyyy-mm")</f>
        <v/>
      </c>
      <c r="D200" t="inlineStr">
        <is>
          <t>East</t>
        </is>
      </c>
      <c r="E200" t="inlineStr">
        <is>
          <t>Services</t>
        </is>
      </c>
      <c r="F200" t="n">
        <v>22</v>
      </c>
      <c r="G200" t="n">
        <v>199</v>
      </c>
      <c r="H200">
        <f>F200*G200</f>
        <v/>
      </c>
      <c r="I200" t="inlineStr">
        <is>
          <t>Direct</t>
        </is>
      </c>
    </row>
    <row r="201">
      <c r="A201" t="inlineStr">
        <is>
          <t>SO-10199</t>
        </is>
      </c>
      <c r="B201" t="inlineStr">
        <is>
          <t>2026-09-04</t>
        </is>
      </c>
      <c r="C201">
        <f>TEXT(DATEVALUE(B201),"yyyy-mm")</f>
        <v/>
      </c>
      <c r="D201" t="inlineStr">
        <is>
          <t>South</t>
        </is>
      </c>
      <c r="E201" t="inlineStr">
        <is>
          <t>Services</t>
        </is>
      </c>
      <c r="F201" t="n">
        <v>19</v>
      </c>
      <c r="G201" t="n">
        <v>799</v>
      </c>
      <c r="H201">
        <f>F201*G201</f>
        <v/>
      </c>
      <c r="I201" t="inlineStr">
        <is>
          <t>Web</t>
        </is>
      </c>
    </row>
    <row r="202">
      <c r="A202" t="inlineStr">
        <is>
          <t>SO-10200</t>
        </is>
      </c>
      <c r="B202" t="inlineStr">
        <is>
          <t>2026-04-09</t>
        </is>
      </c>
      <c r="C202">
        <f>TEXT(DATEVALUE(B202),"yyyy-mm")</f>
        <v/>
      </c>
      <c r="D202" t="inlineStr">
        <is>
          <t>West</t>
        </is>
      </c>
      <c r="E202" t="inlineStr">
        <is>
          <t>Hardware</t>
        </is>
      </c>
      <c r="F202" t="n">
        <v>5</v>
      </c>
      <c r="G202" t="n">
        <v>49</v>
      </c>
      <c r="H202">
        <f>F202*G202</f>
        <v/>
      </c>
      <c r="I202" t="inlineStr">
        <is>
          <t>Partner</t>
        </is>
      </c>
    </row>
    <row r="203">
      <c r="A203" t="inlineStr">
        <is>
          <t>SO-10201</t>
        </is>
      </c>
      <c r="B203" t="inlineStr">
        <is>
          <t>2026-09-03</t>
        </is>
      </c>
      <c r="C203">
        <f>TEXT(DATEVALUE(B203),"yyyy-mm")</f>
        <v/>
      </c>
      <c r="D203" t="inlineStr">
        <is>
          <t>North</t>
        </is>
      </c>
      <c r="E203" t="inlineStr">
        <is>
          <t>Services</t>
        </is>
      </c>
      <c r="F203" t="n">
        <v>17</v>
      </c>
      <c r="G203" t="n">
        <v>49</v>
      </c>
      <c r="H203">
        <f>F203*G203</f>
        <v/>
      </c>
      <c r="I203" t="inlineStr">
        <is>
          <t>Direct</t>
        </is>
      </c>
    </row>
    <row r="204">
      <c r="A204" t="inlineStr">
        <is>
          <t>SO-10202</t>
        </is>
      </c>
      <c r="B204" t="inlineStr">
        <is>
          <t>2026-05-14</t>
        </is>
      </c>
      <c r="C204">
        <f>TEXT(DATEVALUE(B204),"yyyy-mm")</f>
        <v/>
      </c>
      <c r="D204" t="inlineStr">
        <is>
          <t>South</t>
        </is>
      </c>
      <c r="E204" t="inlineStr">
        <is>
          <t>Services</t>
        </is>
      </c>
      <c r="F204" t="n">
        <v>19</v>
      </c>
      <c r="G204" t="n">
        <v>49</v>
      </c>
      <c r="H204">
        <f>F204*G204</f>
        <v/>
      </c>
      <c r="I204" t="inlineStr">
        <is>
          <t>Web</t>
        </is>
      </c>
    </row>
    <row r="205">
      <c r="A205" t="inlineStr">
        <is>
          <t>SO-10203</t>
        </is>
      </c>
      <c r="B205" t="inlineStr">
        <is>
          <t>2026-04-06</t>
        </is>
      </c>
      <c r="C205">
        <f>TEXT(DATEVALUE(B205),"yyyy-mm")</f>
        <v/>
      </c>
      <c r="D205" t="inlineStr">
        <is>
          <t>North</t>
        </is>
      </c>
      <c r="E205" t="inlineStr">
        <is>
          <t>Software</t>
        </is>
      </c>
      <c r="F205" t="n">
        <v>9</v>
      </c>
      <c r="G205" t="n">
        <v>799</v>
      </c>
      <c r="H205">
        <f>F205*G205</f>
        <v/>
      </c>
      <c r="I205" t="inlineStr">
        <is>
          <t>Web</t>
        </is>
      </c>
    </row>
    <row r="206">
      <c r="A206" t="inlineStr">
        <is>
          <t>SO-10204</t>
        </is>
      </c>
      <c r="B206" t="inlineStr">
        <is>
          <t>2026-01-20</t>
        </is>
      </c>
      <c r="C206">
        <f>TEXT(DATEVALUE(B206),"yyyy-mm")</f>
        <v/>
      </c>
      <c r="D206" t="inlineStr">
        <is>
          <t>West</t>
        </is>
      </c>
      <c r="E206" t="inlineStr">
        <is>
          <t>Hardware</t>
        </is>
      </c>
      <c r="F206" t="n">
        <v>15</v>
      </c>
      <c r="G206" t="n">
        <v>799</v>
      </c>
      <c r="H206">
        <f>F206*G206</f>
        <v/>
      </c>
      <c r="I206" t="inlineStr">
        <is>
          <t>Partner</t>
        </is>
      </c>
    </row>
    <row r="207">
      <c r="A207" t="inlineStr">
        <is>
          <t>SO-10205</t>
        </is>
      </c>
      <c r="B207" t="inlineStr">
        <is>
          <t>2026-01-06</t>
        </is>
      </c>
      <c r="C207">
        <f>TEXT(DATEVALUE(B207),"yyyy-mm")</f>
        <v/>
      </c>
      <c r="D207" t="inlineStr">
        <is>
          <t>East</t>
        </is>
      </c>
      <c r="E207" t="inlineStr">
        <is>
          <t>Services</t>
        </is>
      </c>
      <c r="F207" t="n">
        <v>3</v>
      </c>
      <c r="G207" t="n">
        <v>799</v>
      </c>
      <c r="H207">
        <f>F207*G207</f>
        <v/>
      </c>
      <c r="I207" t="inlineStr">
        <is>
          <t>Direct</t>
        </is>
      </c>
    </row>
    <row r="208">
      <c r="A208" t="inlineStr">
        <is>
          <t>SO-10206</t>
        </is>
      </c>
      <c r="B208" t="inlineStr">
        <is>
          <t>2026-08-26</t>
        </is>
      </c>
      <c r="C208">
        <f>TEXT(DATEVALUE(B208),"yyyy-mm")</f>
        <v/>
      </c>
      <c r="D208" t="inlineStr">
        <is>
          <t>East</t>
        </is>
      </c>
      <c r="E208" t="inlineStr">
        <is>
          <t>Software</t>
        </is>
      </c>
      <c r="F208" t="n">
        <v>2</v>
      </c>
      <c r="G208" t="n">
        <v>799</v>
      </c>
      <c r="H208">
        <f>F208*G208</f>
        <v/>
      </c>
      <c r="I208" t="inlineStr">
        <is>
          <t>Direct</t>
        </is>
      </c>
    </row>
    <row r="209">
      <c r="A209" t="inlineStr">
        <is>
          <t>SO-10207</t>
        </is>
      </c>
      <c r="B209" t="inlineStr">
        <is>
          <t>2026-03-04</t>
        </is>
      </c>
      <c r="C209">
        <f>TEXT(DATEVALUE(B209),"yyyy-mm")</f>
        <v/>
      </c>
      <c r="D209" t="inlineStr">
        <is>
          <t>South</t>
        </is>
      </c>
      <c r="E209" t="inlineStr">
        <is>
          <t>Training</t>
        </is>
      </c>
      <c r="F209" t="n">
        <v>20</v>
      </c>
      <c r="G209" t="n">
        <v>349</v>
      </c>
      <c r="H209">
        <f>F209*G209</f>
        <v/>
      </c>
      <c r="I209" t="inlineStr">
        <is>
          <t>Direct</t>
        </is>
      </c>
    </row>
    <row r="210">
      <c r="A210" t="inlineStr">
        <is>
          <t>SO-10208</t>
        </is>
      </c>
      <c r="B210" t="inlineStr">
        <is>
          <t>2026-05-26</t>
        </is>
      </c>
      <c r="C210">
        <f>TEXT(DATEVALUE(B210),"yyyy-mm")</f>
        <v/>
      </c>
      <c r="D210" t="inlineStr">
        <is>
          <t>East</t>
        </is>
      </c>
      <c r="E210" t="inlineStr">
        <is>
          <t>Training</t>
        </is>
      </c>
      <c r="F210" t="n">
        <v>23</v>
      </c>
      <c r="G210" t="n">
        <v>99</v>
      </c>
      <c r="H210">
        <f>F210*G210</f>
        <v/>
      </c>
      <c r="I210" t="inlineStr">
        <is>
          <t>Direct</t>
        </is>
      </c>
    </row>
    <row r="211">
      <c r="A211" t="inlineStr">
        <is>
          <t>SO-10209</t>
        </is>
      </c>
      <c r="B211" t="inlineStr">
        <is>
          <t>2026-04-28</t>
        </is>
      </c>
      <c r="C211">
        <f>TEXT(DATEVALUE(B211),"yyyy-mm")</f>
        <v/>
      </c>
      <c r="D211" t="inlineStr">
        <is>
          <t>West</t>
        </is>
      </c>
      <c r="E211" t="inlineStr">
        <is>
          <t>Services</t>
        </is>
      </c>
      <c r="F211" t="n">
        <v>19</v>
      </c>
      <c r="G211" t="n">
        <v>799</v>
      </c>
      <c r="H211">
        <f>F211*G211</f>
        <v/>
      </c>
      <c r="I211" t="inlineStr">
        <is>
          <t>Web</t>
        </is>
      </c>
    </row>
    <row r="212">
      <c r="A212" t="inlineStr">
        <is>
          <t>SO-10210</t>
        </is>
      </c>
      <c r="B212" t="inlineStr">
        <is>
          <t>2026-04-20</t>
        </is>
      </c>
      <c r="C212">
        <f>TEXT(DATEVALUE(B212),"yyyy-mm")</f>
        <v/>
      </c>
      <c r="D212" t="inlineStr">
        <is>
          <t>West</t>
        </is>
      </c>
      <c r="E212" t="inlineStr">
        <is>
          <t>Software</t>
        </is>
      </c>
      <c r="F212" t="n">
        <v>23</v>
      </c>
      <c r="G212" t="n">
        <v>49</v>
      </c>
      <c r="H212">
        <f>F212*G212</f>
        <v/>
      </c>
      <c r="I212" t="inlineStr">
        <is>
          <t>Partner</t>
        </is>
      </c>
    </row>
    <row r="213">
      <c r="A213" t="inlineStr">
        <is>
          <t>SO-10211</t>
        </is>
      </c>
      <c r="B213" t="inlineStr">
        <is>
          <t>2026-03-20</t>
        </is>
      </c>
      <c r="C213">
        <f>TEXT(DATEVALUE(B213),"yyyy-mm")</f>
        <v/>
      </c>
      <c r="D213" t="inlineStr">
        <is>
          <t>West</t>
        </is>
      </c>
      <c r="E213" t="inlineStr">
        <is>
          <t>Training</t>
        </is>
      </c>
      <c r="F213" t="n">
        <v>1</v>
      </c>
      <c r="G213" t="n">
        <v>799</v>
      </c>
      <c r="H213">
        <f>F213*G213</f>
        <v/>
      </c>
      <c r="I213" t="inlineStr">
        <is>
          <t>Direct</t>
        </is>
      </c>
    </row>
    <row r="214">
      <c r="A214" t="inlineStr">
        <is>
          <t>SO-10212</t>
        </is>
      </c>
      <c r="B214" t="inlineStr">
        <is>
          <t>2026-08-24</t>
        </is>
      </c>
      <c r="C214">
        <f>TEXT(DATEVALUE(B214),"yyyy-mm")</f>
        <v/>
      </c>
      <c r="D214" t="inlineStr">
        <is>
          <t>North</t>
        </is>
      </c>
      <c r="E214" t="inlineStr">
        <is>
          <t>Hardware</t>
        </is>
      </c>
      <c r="F214" t="n">
        <v>9</v>
      </c>
      <c r="G214" t="n">
        <v>49</v>
      </c>
      <c r="H214">
        <f>F214*G214</f>
        <v/>
      </c>
      <c r="I214" t="inlineStr">
        <is>
          <t>Web</t>
        </is>
      </c>
    </row>
    <row r="215">
      <c r="A215" t="inlineStr">
        <is>
          <t>SO-10213</t>
        </is>
      </c>
      <c r="B215" t="inlineStr">
        <is>
          <t>2026-09-19</t>
        </is>
      </c>
      <c r="C215">
        <f>TEXT(DATEVALUE(B215),"yyyy-mm")</f>
        <v/>
      </c>
      <c r="D215" t="inlineStr">
        <is>
          <t>South</t>
        </is>
      </c>
      <c r="E215" t="inlineStr">
        <is>
          <t>Hardware</t>
        </is>
      </c>
      <c r="F215" t="n">
        <v>24</v>
      </c>
      <c r="G215" t="n">
        <v>99</v>
      </c>
      <c r="H215">
        <f>F215*G215</f>
        <v/>
      </c>
      <c r="I215" t="inlineStr">
        <is>
          <t>Partner</t>
        </is>
      </c>
    </row>
    <row r="216">
      <c r="A216" t="inlineStr">
        <is>
          <t>SO-10214</t>
        </is>
      </c>
      <c r="B216" t="inlineStr">
        <is>
          <t>2026-07-02</t>
        </is>
      </c>
      <c r="C216">
        <f>TEXT(DATEVALUE(B216),"yyyy-mm")</f>
        <v/>
      </c>
      <c r="D216" t="inlineStr">
        <is>
          <t>East</t>
        </is>
      </c>
      <c r="E216" t="inlineStr">
        <is>
          <t>Training</t>
        </is>
      </c>
      <c r="F216" t="n">
        <v>23</v>
      </c>
      <c r="G216" t="n">
        <v>199</v>
      </c>
      <c r="H216">
        <f>F216*G216</f>
        <v/>
      </c>
      <c r="I216" t="inlineStr">
        <is>
          <t>Web</t>
        </is>
      </c>
    </row>
    <row r="217">
      <c r="A217" t="inlineStr">
        <is>
          <t>SO-10215</t>
        </is>
      </c>
      <c r="B217" t="inlineStr">
        <is>
          <t>2026-09-06</t>
        </is>
      </c>
      <c r="C217">
        <f>TEXT(DATEVALUE(B217),"yyyy-mm")</f>
        <v/>
      </c>
      <c r="D217" t="inlineStr">
        <is>
          <t>South</t>
        </is>
      </c>
      <c r="E217" t="inlineStr">
        <is>
          <t>Software</t>
        </is>
      </c>
      <c r="F217" t="n">
        <v>13</v>
      </c>
      <c r="G217" t="n">
        <v>199</v>
      </c>
      <c r="H217">
        <f>F217*G217</f>
        <v/>
      </c>
      <c r="I217" t="inlineStr">
        <is>
          <t>Partner</t>
        </is>
      </c>
    </row>
    <row r="218">
      <c r="A218" t="inlineStr">
        <is>
          <t>SO-10216</t>
        </is>
      </c>
      <c r="B218" t="inlineStr">
        <is>
          <t>2026-08-02</t>
        </is>
      </c>
      <c r="C218">
        <f>TEXT(DATEVALUE(B218),"yyyy-mm")</f>
        <v/>
      </c>
      <c r="D218" t="inlineStr">
        <is>
          <t>West</t>
        </is>
      </c>
      <c r="E218" t="inlineStr">
        <is>
          <t>Services</t>
        </is>
      </c>
      <c r="F218" t="n">
        <v>11</v>
      </c>
      <c r="G218" t="n">
        <v>349</v>
      </c>
      <c r="H218">
        <f>F218*G218</f>
        <v/>
      </c>
      <c r="I218" t="inlineStr">
        <is>
          <t>Direct</t>
        </is>
      </c>
    </row>
    <row r="219">
      <c r="A219" t="inlineStr">
        <is>
          <t>SO-10217</t>
        </is>
      </c>
      <c r="B219" t="inlineStr">
        <is>
          <t>2026-04-23</t>
        </is>
      </c>
      <c r="C219">
        <f>TEXT(DATEVALUE(B219),"yyyy-mm")</f>
        <v/>
      </c>
      <c r="D219" t="inlineStr">
        <is>
          <t>West</t>
        </is>
      </c>
      <c r="E219" t="inlineStr">
        <is>
          <t>Software</t>
        </is>
      </c>
      <c r="F219" t="n">
        <v>2</v>
      </c>
      <c r="G219" t="n">
        <v>99</v>
      </c>
      <c r="H219">
        <f>F219*G219</f>
        <v/>
      </c>
      <c r="I219" t="inlineStr">
        <is>
          <t>Web</t>
        </is>
      </c>
    </row>
    <row r="220">
      <c r="A220" t="inlineStr">
        <is>
          <t>SO-10218</t>
        </is>
      </c>
      <c r="B220" t="inlineStr">
        <is>
          <t>2026-08-17</t>
        </is>
      </c>
      <c r="C220">
        <f>TEXT(DATEVALUE(B220),"yyyy-mm")</f>
        <v/>
      </c>
      <c r="D220" t="inlineStr">
        <is>
          <t>North</t>
        </is>
      </c>
      <c r="E220" t="inlineStr">
        <is>
          <t>Software</t>
        </is>
      </c>
      <c r="F220" t="n">
        <v>24</v>
      </c>
      <c r="G220" t="n">
        <v>49</v>
      </c>
      <c r="H220">
        <f>F220*G220</f>
        <v/>
      </c>
      <c r="I220" t="inlineStr">
        <is>
          <t>Partner</t>
        </is>
      </c>
    </row>
    <row r="221">
      <c r="A221" t="inlineStr">
        <is>
          <t>SO-10219</t>
        </is>
      </c>
      <c r="B221" t="inlineStr">
        <is>
          <t>2026-09-05</t>
        </is>
      </c>
      <c r="C221">
        <f>TEXT(DATEVALUE(B221),"yyyy-mm")</f>
        <v/>
      </c>
      <c r="D221" t="inlineStr">
        <is>
          <t>East</t>
        </is>
      </c>
      <c r="E221" t="inlineStr">
        <is>
          <t>Training</t>
        </is>
      </c>
      <c r="F221" t="n">
        <v>3</v>
      </c>
      <c r="G221" t="n">
        <v>349</v>
      </c>
      <c r="H221">
        <f>F221*G221</f>
        <v/>
      </c>
      <c r="I221" t="inlineStr">
        <is>
          <t>Partner</t>
        </is>
      </c>
    </row>
    <row r="222">
      <c r="A222" t="inlineStr">
        <is>
          <t>SO-10220</t>
        </is>
      </c>
      <c r="B222" t="inlineStr">
        <is>
          <t>2026-02-02</t>
        </is>
      </c>
      <c r="C222">
        <f>TEXT(DATEVALUE(B222),"yyyy-mm")</f>
        <v/>
      </c>
      <c r="D222" t="inlineStr">
        <is>
          <t>South</t>
        </is>
      </c>
      <c r="E222" t="inlineStr">
        <is>
          <t>Services</t>
        </is>
      </c>
      <c r="F222" t="n">
        <v>22</v>
      </c>
      <c r="G222" t="n">
        <v>799</v>
      </c>
      <c r="H222">
        <f>F222*G222</f>
        <v/>
      </c>
      <c r="I222" t="inlineStr">
        <is>
          <t>Partner</t>
        </is>
      </c>
    </row>
    <row r="223">
      <c r="A223" t="inlineStr">
        <is>
          <t>SO-10221</t>
        </is>
      </c>
      <c r="B223" t="inlineStr">
        <is>
          <t>2026-02-18</t>
        </is>
      </c>
      <c r="C223">
        <f>TEXT(DATEVALUE(B223),"yyyy-mm")</f>
        <v/>
      </c>
      <c r="D223" t="inlineStr">
        <is>
          <t>West</t>
        </is>
      </c>
      <c r="E223" t="inlineStr">
        <is>
          <t>Hardware</t>
        </is>
      </c>
      <c r="F223" t="n">
        <v>8</v>
      </c>
      <c r="G223" t="n">
        <v>349</v>
      </c>
      <c r="H223">
        <f>F223*G223</f>
        <v/>
      </c>
      <c r="I223" t="inlineStr">
        <is>
          <t>Web</t>
        </is>
      </c>
    </row>
    <row r="224">
      <c r="A224" t="inlineStr">
        <is>
          <t>SO-10222</t>
        </is>
      </c>
      <c r="B224" t="inlineStr">
        <is>
          <t>2026-06-10</t>
        </is>
      </c>
      <c r="C224">
        <f>TEXT(DATEVALUE(B224),"yyyy-mm")</f>
        <v/>
      </c>
      <c r="D224" t="inlineStr">
        <is>
          <t>South</t>
        </is>
      </c>
      <c r="E224" t="inlineStr">
        <is>
          <t>Hardware</t>
        </is>
      </c>
      <c r="F224" t="n">
        <v>11</v>
      </c>
      <c r="G224" t="n">
        <v>799</v>
      </c>
      <c r="H224">
        <f>F224*G224</f>
        <v/>
      </c>
      <c r="I224" t="inlineStr">
        <is>
          <t>Web</t>
        </is>
      </c>
    </row>
    <row r="225">
      <c r="A225" t="inlineStr">
        <is>
          <t>SO-10223</t>
        </is>
      </c>
      <c r="B225" t="inlineStr">
        <is>
          <t>2026-07-19</t>
        </is>
      </c>
      <c r="C225">
        <f>TEXT(DATEVALUE(B225),"yyyy-mm")</f>
        <v/>
      </c>
      <c r="D225" t="inlineStr">
        <is>
          <t>East</t>
        </is>
      </c>
      <c r="E225" t="inlineStr">
        <is>
          <t>Software</t>
        </is>
      </c>
      <c r="F225" t="n">
        <v>21</v>
      </c>
      <c r="G225" t="n">
        <v>49</v>
      </c>
      <c r="H225">
        <f>F225*G225</f>
        <v/>
      </c>
      <c r="I225" t="inlineStr">
        <is>
          <t>Partner</t>
        </is>
      </c>
    </row>
    <row r="226">
      <c r="A226" t="inlineStr">
        <is>
          <t>SO-10224</t>
        </is>
      </c>
      <c r="B226" t="inlineStr">
        <is>
          <t>2026-07-27</t>
        </is>
      </c>
      <c r="C226">
        <f>TEXT(DATEVALUE(B226),"yyyy-mm")</f>
        <v/>
      </c>
      <c r="D226" t="inlineStr">
        <is>
          <t>West</t>
        </is>
      </c>
      <c r="E226" t="inlineStr">
        <is>
          <t>Hardware</t>
        </is>
      </c>
      <c r="F226" t="n">
        <v>7</v>
      </c>
      <c r="G226" t="n">
        <v>349</v>
      </c>
      <c r="H226">
        <f>F226*G226</f>
        <v/>
      </c>
      <c r="I226" t="inlineStr">
        <is>
          <t>Web</t>
        </is>
      </c>
    </row>
    <row r="227">
      <c r="A227" t="inlineStr">
        <is>
          <t>SO-10225</t>
        </is>
      </c>
      <c r="B227" t="inlineStr">
        <is>
          <t>2026-07-12</t>
        </is>
      </c>
      <c r="C227">
        <f>TEXT(DATEVALUE(B227),"yyyy-mm")</f>
        <v/>
      </c>
      <c r="D227" t="inlineStr">
        <is>
          <t>South</t>
        </is>
      </c>
      <c r="E227" t="inlineStr">
        <is>
          <t>Training</t>
        </is>
      </c>
      <c r="F227" t="n">
        <v>8</v>
      </c>
      <c r="G227" t="n">
        <v>99</v>
      </c>
      <c r="H227">
        <f>F227*G227</f>
        <v/>
      </c>
      <c r="I227" t="inlineStr">
        <is>
          <t>Web</t>
        </is>
      </c>
    </row>
    <row r="228">
      <c r="A228" t="inlineStr">
        <is>
          <t>SO-10226</t>
        </is>
      </c>
      <c r="B228" t="inlineStr">
        <is>
          <t>2026-07-07</t>
        </is>
      </c>
      <c r="C228">
        <f>TEXT(DATEVALUE(B228),"yyyy-mm")</f>
        <v/>
      </c>
      <c r="D228" t="inlineStr">
        <is>
          <t>East</t>
        </is>
      </c>
      <c r="E228" t="inlineStr">
        <is>
          <t>Training</t>
        </is>
      </c>
      <c r="F228" t="n">
        <v>20</v>
      </c>
      <c r="G228" t="n">
        <v>349</v>
      </c>
      <c r="H228">
        <f>F228*G228</f>
        <v/>
      </c>
      <c r="I228" t="inlineStr">
        <is>
          <t>Partner</t>
        </is>
      </c>
    </row>
    <row r="229">
      <c r="A229" t="inlineStr">
        <is>
          <t>SO-10227</t>
        </is>
      </c>
      <c r="B229" t="inlineStr">
        <is>
          <t>2026-08-21</t>
        </is>
      </c>
      <c r="C229">
        <f>TEXT(DATEVALUE(B229),"yyyy-mm")</f>
        <v/>
      </c>
      <c r="D229" t="inlineStr">
        <is>
          <t>West</t>
        </is>
      </c>
      <c r="E229" t="inlineStr">
        <is>
          <t>Software</t>
        </is>
      </c>
      <c r="F229" t="n">
        <v>22</v>
      </c>
      <c r="G229" t="n">
        <v>99</v>
      </c>
      <c r="H229">
        <f>F229*G229</f>
        <v/>
      </c>
      <c r="I229" t="inlineStr">
        <is>
          <t>Direct</t>
        </is>
      </c>
    </row>
    <row r="230">
      <c r="A230" t="inlineStr">
        <is>
          <t>SO-10228</t>
        </is>
      </c>
      <c r="B230" t="inlineStr">
        <is>
          <t>2026-07-14</t>
        </is>
      </c>
      <c r="C230">
        <f>TEXT(DATEVALUE(B230),"yyyy-mm")</f>
        <v/>
      </c>
      <c r="D230" t="inlineStr">
        <is>
          <t>East</t>
        </is>
      </c>
      <c r="E230" t="inlineStr">
        <is>
          <t>Services</t>
        </is>
      </c>
      <c r="F230" t="n">
        <v>3</v>
      </c>
      <c r="G230" t="n">
        <v>49</v>
      </c>
      <c r="H230">
        <f>F230*G230</f>
        <v/>
      </c>
      <c r="I230" t="inlineStr">
        <is>
          <t>Partner</t>
        </is>
      </c>
    </row>
    <row r="231">
      <c r="A231" t="inlineStr">
        <is>
          <t>SO-10229</t>
        </is>
      </c>
      <c r="B231" t="inlineStr">
        <is>
          <t>2026-01-17</t>
        </is>
      </c>
      <c r="C231">
        <f>TEXT(DATEVALUE(B231),"yyyy-mm")</f>
        <v/>
      </c>
      <c r="D231" t="inlineStr">
        <is>
          <t>West</t>
        </is>
      </c>
      <c r="E231" t="inlineStr">
        <is>
          <t>Software</t>
        </is>
      </c>
      <c r="F231" t="n">
        <v>6</v>
      </c>
      <c r="G231" t="n">
        <v>199</v>
      </c>
      <c r="H231">
        <f>F231*G231</f>
        <v/>
      </c>
      <c r="I231" t="inlineStr">
        <is>
          <t>Partner</t>
        </is>
      </c>
    </row>
    <row r="232">
      <c r="A232" t="inlineStr">
        <is>
          <t>SO-10230</t>
        </is>
      </c>
      <c r="B232" t="inlineStr">
        <is>
          <t>2026-02-12</t>
        </is>
      </c>
      <c r="C232">
        <f>TEXT(DATEVALUE(B232),"yyyy-mm")</f>
        <v/>
      </c>
      <c r="D232" t="inlineStr">
        <is>
          <t>East</t>
        </is>
      </c>
      <c r="E232" t="inlineStr">
        <is>
          <t>Software</t>
        </is>
      </c>
      <c r="F232" t="n">
        <v>2</v>
      </c>
      <c r="G232" t="n">
        <v>99</v>
      </c>
      <c r="H232">
        <f>F232*G232</f>
        <v/>
      </c>
      <c r="I232" t="inlineStr">
        <is>
          <t>Web</t>
        </is>
      </c>
    </row>
    <row r="233">
      <c r="A233" t="inlineStr">
        <is>
          <t>SO-10231</t>
        </is>
      </c>
      <c r="B233" t="inlineStr">
        <is>
          <t>2026-02-01</t>
        </is>
      </c>
      <c r="C233">
        <f>TEXT(DATEVALUE(B233),"yyyy-mm")</f>
        <v/>
      </c>
      <c r="D233" t="inlineStr">
        <is>
          <t>West</t>
        </is>
      </c>
      <c r="E233" t="inlineStr">
        <is>
          <t>Hardware</t>
        </is>
      </c>
      <c r="F233" t="n">
        <v>11</v>
      </c>
      <c r="G233" t="n">
        <v>349</v>
      </c>
      <c r="H233">
        <f>F233*G233</f>
        <v/>
      </c>
      <c r="I233" t="inlineStr">
        <is>
          <t>Partner</t>
        </is>
      </c>
    </row>
    <row r="234">
      <c r="A234" t="inlineStr">
        <is>
          <t>SO-10232</t>
        </is>
      </c>
      <c r="B234" t="inlineStr">
        <is>
          <t>2026-06-09</t>
        </is>
      </c>
      <c r="C234">
        <f>TEXT(DATEVALUE(B234),"yyyy-mm")</f>
        <v/>
      </c>
      <c r="D234" t="inlineStr">
        <is>
          <t>North</t>
        </is>
      </c>
      <c r="E234" t="inlineStr">
        <is>
          <t>Services</t>
        </is>
      </c>
      <c r="F234" t="n">
        <v>25</v>
      </c>
      <c r="G234" t="n">
        <v>799</v>
      </c>
      <c r="H234">
        <f>F234*G234</f>
        <v/>
      </c>
      <c r="I234" t="inlineStr">
        <is>
          <t>Partner</t>
        </is>
      </c>
    </row>
    <row r="235">
      <c r="A235" t="inlineStr">
        <is>
          <t>SO-10233</t>
        </is>
      </c>
      <c r="B235" t="inlineStr">
        <is>
          <t>2026-04-16</t>
        </is>
      </c>
      <c r="C235">
        <f>TEXT(DATEVALUE(B235),"yyyy-mm")</f>
        <v/>
      </c>
      <c r="D235" t="inlineStr">
        <is>
          <t>South</t>
        </is>
      </c>
      <c r="E235" t="inlineStr">
        <is>
          <t>Software</t>
        </is>
      </c>
      <c r="F235" t="n">
        <v>2</v>
      </c>
      <c r="G235" t="n">
        <v>99</v>
      </c>
      <c r="H235">
        <f>F235*G235</f>
        <v/>
      </c>
      <c r="I235" t="inlineStr">
        <is>
          <t>Web</t>
        </is>
      </c>
    </row>
    <row r="236">
      <c r="A236" t="inlineStr">
        <is>
          <t>SO-10234</t>
        </is>
      </c>
      <c r="B236" t="inlineStr">
        <is>
          <t>2026-04-10</t>
        </is>
      </c>
      <c r="C236">
        <f>TEXT(DATEVALUE(B236),"yyyy-mm")</f>
        <v/>
      </c>
      <c r="D236" t="inlineStr">
        <is>
          <t>West</t>
        </is>
      </c>
      <c r="E236" t="inlineStr">
        <is>
          <t>Software</t>
        </is>
      </c>
      <c r="F236" t="n">
        <v>14</v>
      </c>
      <c r="G236" t="n">
        <v>349</v>
      </c>
      <c r="H236">
        <f>F236*G236</f>
        <v/>
      </c>
      <c r="I236" t="inlineStr">
        <is>
          <t>Direct</t>
        </is>
      </c>
    </row>
    <row r="237">
      <c r="A237" t="inlineStr">
        <is>
          <t>SO-10235</t>
        </is>
      </c>
      <c r="B237" t="inlineStr">
        <is>
          <t>2026-09-09</t>
        </is>
      </c>
      <c r="C237">
        <f>TEXT(DATEVALUE(B237),"yyyy-mm")</f>
        <v/>
      </c>
      <c r="D237" t="inlineStr">
        <is>
          <t>West</t>
        </is>
      </c>
      <c r="E237" t="inlineStr">
        <is>
          <t>Software</t>
        </is>
      </c>
      <c r="F237" t="n">
        <v>11</v>
      </c>
      <c r="G237" t="n">
        <v>349</v>
      </c>
      <c r="H237">
        <f>F237*G237</f>
        <v/>
      </c>
      <c r="I237" t="inlineStr">
        <is>
          <t>Web</t>
        </is>
      </c>
    </row>
    <row r="238">
      <c r="A238" t="inlineStr">
        <is>
          <t>SO-10236</t>
        </is>
      </c>
      <c r="B238" t="inlineStr">
        <is>
          <t>2026-05-18</t>
        </is>
      </c>
      <c r="C238">
        <f>TEXT(DATEVALUE(B238),"yyyy-mm")</f>
        <v/>
      </c>
      <c r="D238" t="inlineStr">
        <is>
          <t>West</t>
        </is>
      </c>
      <c r="E238" t="inlineStr">
        <is>
          <t>Software</t>
        </is>
      </c>
      <c r="F238" t="n">
        <v>23</v>
      </c>
      <c r="G238" t="n">
        <v>349</v>
      </c>
      <c r="H238">
        <f>F238*G238</f>
        <v/>
      </c>
      <c r="I238" t="inlineStr">
        <is>
          <t>Partner</t>
        </is>
      </c>
    </row>
    <row r="239">
      <c r="A239" t="inlineStr">
        <is>
          <t>SO-10237</t>
        </is>
      </c>
      <c r="B239" t="inlineStr">
        <is>
          <t>2026-09-28</t>
        </is>
      </c>
      <c r="C239">
        <f>TEXT(DATEVALUE(B239),"yyyy-mm")</f>
        <v/>
      </c>
      <c r="D239" t="inlineStr">
        <is>
          <t>North</t>
        </is>
      </c>
      <c r="E239" t="inlineStr">
        <is>
          <t>Services</t>
        </is>
      </c>
      <c r="F239" t="n">
        <v>12</v>
      </c>
      <c r="G239" t="n">
        <v>99</v>
      </c>
      <c r="H239">
        <f>F239*G239</f>
        <v/>
      </c>
      <c r="I239" t="inlineStr">
        <is>
          <t>Partner</t>
        </is>
      </c>
    </row>
    <row r="240">
      <c r="A240" t="inlineStr">
        <is>
          <t>SO-10238</t>
        </is>
      </c>
      <c r="B240" t="inlineStr">
        <is>
          <t>2026-06-20</t>
        </is>
      </c>
      <c r="C240">
        <f>TEXT(DATEVALUE(B240),"yyyy-mm")</f>
        <v/>
      </c>
      <c r="D240" t="inlineStr">
        <is>
          <t>North</t>
        </is>
      </c>
      <c r="E240" t="inlineStr">
        <is>
          <t>Hardware</t>
        </is>
      </c>
      <c r="F240" t="n">
        <v>7</v>
      </c>
      <c r="G240" t="n">
        <v>99</v>
      </c>
      <c r="H240">
        <f>F240*G240</f>
        <v/>
      </c>
      <c r="I240" t="inlineStr">
        <is>
          <t>Direct</t>
        </is>
      </c>
    </row>
    <row r="241">
      <c r="A241" t="inlineStr">
        <is>
          <t>SO-10239</t>
        </is>
      </c>
      <c r="B241" t="inlineStr">
        <is>
          <t>2026-08-19</t>
        </is>
      </c>
      <c r="C241">
        <f>TEXT(DATEVALUE(B241),"yyyy-mm")</f>
        <v/>
      </c>
      <c r="D241" t="inlineStr">
        <is>
          <t>North</t>
        </is>
      </c>
      <c r="E241" t="inlineStr">
        <is>
          <t>Software</t>
        </is>
      </c>
      <c r="F241" t="n">
        <v>1</v>
      </c>
      <c r="G241" t="n">
        <v>199</v>
      </c>
      <c r="H241">
        <f>F241*G241</f>
        <v/>
      </c>
      <c r="I241" t="inlineStr">
        <is>
          <t>Direct</t>
        </is>
      </c>
    </row>
    <row r="242">
      <c r="A242" t="inlineStr">
        <is>
          <t>SO-10240</t>
        </is>
      </c>
      <c r="B242" t="inlineStr">
        <is>
          <t>2026-06-22</t>
        </is>
      </c>
      <c r="C242">
        <f>TEXT(DATEVALUE(B242),"yyyy-mm")</f>
        <v/>
      </c>
      <c r="D242" t="inlineStr">
        <is>
          <t>South</t>
        </is>
      </c>
      <c r="E242" t="inlineStr">
        <is>
          <t>Services</t>
        </is>
      </c>
      <c r="F242" t="n">
        <v>4</v>
      </c>
      <c r="G242" t="n">
        <v>199</v>
      </c>
      <c r="H242">
        <f>F242*G242</f>
        <v/>
      </c>
      <c r="I242" t="inlineStr">
        <is>
          <t>Web</t>
        </is>
      </c>
    </row>
    <row r="243">
      <c r="A243" t="inlineStr">
        <is>
          <t>SO-10241</t>
        </is>
      </c>
      <c r="B243" t="inlineStr">
        <is>
          <t>2026-07-04</t>
        </is>
      </c>
      <c r="C243">
        <f>TEXT(DATEVALUE(B243),"yyyy-mm")</f>
        <v/>
      </c>
      <c r="D243" t="inlineStr">
        <is>
          <t>North</t>
        </is>
      </c>
      <c r="E243" t="inlineStr">
        <is>
          <t>Training</t>
        </is>
      </c>
      <c r="F243" t="n">
        <v>13</v>
      </c>
      <c r="G243" t="n">
        <v>349</v>
      </c>
      <c r="H243">
        <f>F243*G243</f>
        <v/>
      </c>
      <c r="I243" t="inlineStr">
        <is>
          <t>Partner</t>
        </is>
      </c>
    </row>
    <row r="244">
      <c r="A244" t="inlineStr">
        <is>
          <t>SO-10242</t>
        </is>
      </c>
      <c r="B244" t="inlineStr">
        <is>
          <t>2026-06-10</t>
        </is>
      </c>
      <c r="C244">
        <f>TEXT(DATEVALUE(B244),"yyyy-mm")</f>
        <v/>
      </c>
      <c r="D244" t="inlineStr">
        <is>
          <t>South</t>
        </is>
      </c>
      <c r="E244" t="inlineStr">
        <is>
          <t>Software</t>
        </is>
      </c>
      <c r="F244" t="n">
        <v>16</v>
      </c>
      <c r="G244" t="n">
        <v>199</v>
      </c>
      <c r="H244">
        <f>F244*G244</f>
        <v/>
      </c>
      <c r="I244" t="inlineStr">
        <is>
          <t>Partner</t>
        </is>
      </c>
    </row>
    <row r="245">
      <c r="A245" t="inlineStr">
        <is>
          <t>SO-10243</t>
        </is>
      </c>
      <c r="B245" t="inlineStr">
        <is>
          <t>2026-04-16</t>
        </is>
      </c>
      <c r="C245">
        <f>TEXT(DATEVALUE(B245),"yyyy-mm")</f>
        <v/>
      </c>
      <c r="D245" t="inlineStr">
        <is>
          <t>East</t>
        </is>
      </c>
      <c r="E245" t="inlineStr">
        <is>
          <t>Software</t>
        </is>
      </c>
      <c r="F245" t="n">
        <v>25</v>
      </c>
      <c r="G245" t="n">
        <v>99</v>
      </c>
      <c r="H245">
        <f>F245*G245</f>
        <v/>
      </c>
      <c r="I245" t="inlineStr">
        <is>
          <t>Direct</t>
        </is>
      </c>
    </row>
    <row r="246">
      <c r="A246" t="inlineStr">
        <is>
          <t>SO-10244</t>
        </is>
      </c>
      <c r="B246" t="inlineStr">
        <is>
          <t>2026-02-24</t>
        </is>
      </c>
      <c r="C246">
        <f>TEXT(DATEVALUE(B246),"yyyy-mm")</f>
        <v/>
      </c>
      <c r="D246" t="inlineStr">
        <is>
          <t>South</t>
        </is>
      </c>
      <c r="E246" t="inlineStr">
        <is>
          <t>Training</t>
        </is>
      </c>
      <c r="F246" t="n">
        <v>11</v>
      </c>
      <c r="G246" t="n">
        <v>349</v>
      </c>
      <c r="H246">
        <f>F246*G246</f>
        <v/>
      </c>
      <c r="I246" t="inlineStr">
        <is>
          <t>Direct</t>
        </is>
      </c>
    </row>
    <row r="247">
      <c r="A247" t="inlineStr">
        <is>
          <t>SO-10245</t>
        </is>
      </c>
      <c r="B247" t="inlineStr">
        <is>
          <t>2026-05-23</t>
        </is>
      </c>
      <c r="C247">
        <f>TEXT(DATEVALUE(B247),"yyyy-mm")</f>
        <v/>
      </c>
      <c r="D247" t="inlineStr">
        <is>
          <t>North</t>
        </is>
      </c>
      <c r="E247" t="inlineStr">
        <is>
          <t>Training</t>
        </is>
      </c>
      <c r="F247" t="n">
        <v>18</v>
      </c>
      <c r="G247" t="n">
        <v>199</v>
      </c>
      <c r="H247">
        <f>F247*G247</f>
        <v/>
      </c>
      <c r="I247" t="inlineStr">
        <is>
          <t>Web</t>
        </is>
      </c>
    </row>
    <row r="248">
      <c r="A248" t="inlineStr">
        <is>
          <t>SO-10246</t>
        </is>
      </c>
      <c r="B248" t="inlineStr">
        <is>
          <t>2026-06-03</t>
        </is>
      </c>
      <c r="C248">
        <f>TEXT(DATEVALUE(B248),"yyyy-mm")</f>
        <v/>
      </c>
      <c r="D248" t="inlineStr">
        <is>
          <t>North</t>
        </is>
      </c>
      <c r="E248" t="inlineStr">
        <is>
          <t>Training</t>
        </is>
      </c>
      <c r="F248" t="n">
        <v>13</v>
      </c>
      <c r="G248" t="n">
        <v>199</v>
      </c>
      <c r="H248">
        <f>F248*G248</f>
        <v/>
      </c>
      <c r="I248" t="inlineStr">
        <is>
          <t>Partner</t>
        </is>
      </c>
    </row>
    <row r="249">
      <c r="A249" t="inlineStr">
        <is>
          <t>SO-10247</t>
        </is>
      </c>
      <c r="B249" t="inlineStr">
        <is>
          <t>2026-05-16</t>
        </is>
      </c>
      <c r="C249">
        <f>TEXT(DATEVALUE(B249),"yyyy-mm")</f>
        <v/>
      </c>
      <c r="D249" t="inlineStr">
        <is>
          <t>East</t>
        </is>
      </c>
      <c r="E249" t="inlineStr">
        <is>
          <t>Hardware</t>
        </is>
      </c>
      <c r="F249" t="n">
        <v>24</v>
      </c>
      <c r="G249" t="n">
        <v>199</v>
      </c>
      <c r="H249">
        <f>F249*G249</f>
        <v/>
      </c>
      <c r="I249" t="inlineStr">
        <is>
          <t>Web</t>
        </is>
      </c>
    </row>
    <row r="250">
      <c r="A250" t="inlineStr">
        <is>
          <t>SO-10248</t>
        </is>
      </c>
      <c r="B250" t="inlineStr">
        <is>
          <t>2026-01-12</t>
        </is>
      </c>
      <c r="C250">
        <f>TEXT(DATEVALUE(B250),"yyyy-mm")</f>
        <v/>
      </c>
      <c r="D250" t="inlineStr">
        <is>
          <t>East</t>
        </is>
      </c>
      <c r="E250" t="inlineStr">
        <is>
          <t>Services</t>
        </is>
      </c>
      <c r="F250" t="n">
        <v>11</v>
      </c>
      <c r="G250" t="n">
        <v>199</v>
      </c>
      <c r="H250">
        <f>F250*G250</f>
        <v/>
      </c>
      <c r="I250" t="inlineStr">
        <is>
          <t>Direct</t>
        </is>
      </c>
    </row>
    <row r="251">
      <c r="A251" t="inlineStr">
        <is>
          <t>SO-10249</t>
        </is>
      </c>
      <c r="B251" t="inlineStr">
        <is>
          <t>2026-03-21</t>
        </is>
      </c>
      <c r="C251">
        <f>TEXT(DATEVALUE(B251),"yyyy-mm")</f>
        <v/>
      </c>
      <c r="D251" t="inlineStr">
        <is>
          <t>East</t>
        </is>
      </c>
      <c r="E251" t="inlineStr">
        <is>
          <t>Services</t>
        </is>
      </c>
      <c r="F251" t="n">
        <v>16</v>
      </c>
      <c r="G251" t="n">
        <v>349</v>
      </c>
      <c r="H251">
        <f>F251*G251</f>
        <v/>
      </c>
      <c r="I251" t="inlineStr">
        <is>
          <t>Web</t>
        </is>
      </c>
    </row>
    <row r="252">
      <c r="A252" t="inlineStr">
        <is>
          <t>SO-10250</t>
        </is>
      </c>
      <c r="B252" t="inlineStr">
        <is>
          <t>2026-04-25</t>
        </is>
      </c>
      <c r="C252">
        <f>TEXT(DATEVALUE(B252),"yyyy-mm")</f>
        <v/>
      </c>
      <c r="D252" t="inlineStr">
        <is>
          <t>West</t>
        </is>
      </c>
      <c r="E252" t="inlineStr">
        <is>
          <t>Training</t>
        </is>
      </c>
      <c r="F252" t="n">
        <v>3</v>
      </c>
      <c r="G252" t="n">
        <v>49</v>
      </c>
      <c r="H252">
        <f>F252*G252</f>
        <v/>
      </c>
      <c r="I252" t="inlineStr">
        <is>
          <t>Web</t>
        </is>
      </c>
    </row>
    <row r="253">
      <c r="A253" t="inlineStr">
        <is>
          <t>SO-10251</t>
        </is>
      </c>
      <c r="B253" t="inlineStr">
        <is>
          <t>2026-05-03</t>
        </is>
      </c>
      <c r="C253">
        <f>TEXT(DATEVALUE(B253),"yyyy-mm")</f>
        <v/>
      </c>
      <c r="D253" t="inlineStr">
        <is>
          <t>West</t>
        </is>
      </c>
      <c r="E253" t="inlineStr">
        <is>
          <t>Training</t>
        </is>
      </c>
      <c r="F253" t="n">
        <v>15</v>
      </c>
      <c r="G253" t="n">
        <v>349</v>
      </c>
      <c r="H253">
        <f>F253*G253</f>
        <v/>
      </c>
      <c r="I253" t="inlineStr">
        <is>
          <t>Web</t>
        </is>
      </c>
    </row>
    <row r="254">
      <c r="A254" t="inlineStr">
        <is>
          <t>SO-10252</t>
        </is>
      </c>
      <c r="B254" t="inlineStr">
        <is>
          <t>2026-03-22</t>
        </is>
      </c>
      <c r="C254">
        <f>TEXT(DATEVALUE(B254),"yyyy-mm")</f>
        <v/>
      </c>
      <c r="D254" t="inlineStr">
        <is>
          <t>East</t>
        </is>
      </c>
      <c r="E254" t="inlineStr">
        <is>
          <t>Training</t>
        </is>
      </c>
      <c r="F254" t="n">
        <v>17</v>
      </c>
      <c r="G254" t="n">
        <v>199</v>
      </c>
      <c r="H254">
        <f>F254*G254</f>
        <v/>
      </c>
      <c r="I254" t="inlineStr">
        <is>
          <t>Partner</t>
        </is>
      </c>
    </row>
    <row r="255">
      <c r="A255" t="inlineStr">
        <is>
          <t>SO-10253</t>
        </is>
      </c>
      <c r="B255" t="inlineStr">
        <is>
          <t>2026-08-01</t>
        </is>
      </c>
      <c r="C255">
        <f>TEXT(DATEVALUE(B255),"yyyy-mm")</f>
        <v/>
      </c>
      <c r="D255" t="inlineStr">
        <is>
          <t>South</t>
        </is>
      </c>
      <c r="E255" t="inlineStr">
        <is>
          <t>Services</t>
        </is>
      </c>
      <c r="F255" t="n">
        <v>5</v>
      </c>
      <c r="G255" t="n">
        <v>799</v>
      </c>
      <c r="H255">
        <f>F255*G255</f>
        <v/>
      </c>
      <c r="I255" t="inlineStr">
        <is>
          <t>Web</t>
        </is>
      </c>
    </row>
    <row r="256">
      <c r="A256" t="inlineStr">
        <is>
          <t>SO-10254</t>
        </is>
      </c>
      <c r="B256" t="inlineStr">
        <is>
          <t>2026-05-22</t>
        </is>
      </c>
      <c r="C256">
        <f>TEXT(DATEVALUE(B256),"yyyy-mm")</f>
        <v/>
      </c>
      <c r="D256" t="inlineStr">
        <is>
          <t>North</t>
        </is>
      </c>
      <c r="E256" t="inlineStr">
        <is>
          <t>Training</t>
        </is>
      </c>
      <c r="F256" t="n">
        <v>8</v>
      </c>
      <c r="G256" t="n">
        <v>99</v>
      </c>
      <c r="H256">
        <f>F256*G256</f>
        <v/>
      </c>
      <c r="I256" t="inlineStr">
        <is>
          <t>Web</t>
        </is>
      </c>
    </row>
    <row r="257">
      <c r="A257" t="inlineStr">
        <is>
          <t>SO-10255</t>
        </is>
      </c>
      <c r="B257" t="inlineStr">
        <is>
          <t>2026-04-18</t>
        </is>
      </c>
      <c r="C257">
        <f>TEXT(DATEVALUE(B257),"yyyy-mm")</f>
        <v/>
      </c>
      <c r="D257" t="inlineStr">
        <is>
          <t>North</t>
        </is>
      </c>
      <c r="E257" t="inlineStr">
        <is>
          <t>Services</t>
        </is>
      </c>
      <c r="F257" t="n">
        <v>16</v>
      </c>
      <c r="G257" t="n">
        <v>799</v>
      </c>
      <c r="H257">
        <f>F257*G257</f>
        <v/>
      </c>
      <c r="I257" t="inlineStr">
        <is>
          <t>Partner</t>
        </is>
      </c>
    </row>
    <row r="258">
      <c r="A258" t="inlineStr">
        <is>
          <t>SO-10256</t>
        </is>
      </c>
      <c r="B258" t="inlineStr">
        <is>
          <t>2026-06-04</t>
        </is>
      </c>
      <c r="C258">
        <f>TEXT(DATEVALUE(B258),"yyyy-mm")</f>
        <v/>
      </c>
      <c r="D258" t="inlineStr">
        <is>
          <t>South</t>
        </is>
      </c>
      <c r="E258" t="inlineStr">
        <is>
          <t>Training</t>
        </is>
      </c>
      <c r="F258" t="n">
        <v>1</v>
      </c>
      <c r="G258" t="n">
        <v>199</v>
      </c>
      <c r="H258">
        <f>F258*G258</f>
        <v/>
      </c>
      <c r="I258" t="inlineStr">
        <is>
          <t>Direct</t>
        </is>
      </c>
    </row>
    <row r="259">
      <c r="A259" t="inlineStr">
        <is>
          <t>SO-10257</t>
        </is>
      </c>
      <c r="B259" t="inlineStr">
        <is>
          <t>2026-03-07</t>
        </is>
      </c>
      <c r="C259">
        <f>TEXT(DATEVALUE(B259),"yyyy-mm")</f>
        <v/>
      </c>
      <c r="D259" t="inlineStr">
        <is>
          <t>East</t>
        </is>
      </c>
      <c r="E259" t="inlineStr">
        <is>
          <t>Training</t>
        </is>
      </c>
      <c r="F259" t="n">
        <v>6</v>
      </c>
      <c r="G259" t="n">
        <v>99</v>
      </c>
      <c r="H259">
        <f>F259*G259</f>
        <v/>
      </c>
      <c r="I259" t="inlineStr">
        <is>
          <t>Direct</t>
        </is>
      </c>
    </row>
    <row r="260">
      <c r="A260" t="inlineStr">
        <is>
          <t>SO-10258</t>
        </is>
      </c>
      <c r="B260" t="inlineStr">
        <is>
          <t>2026-05-12</t>
        </is>
      </c>
      <c r="C260">
        <f>TEXT(DATEVALUE(B260),"yyyy-mm")</f>
        <v/>
      </c>
      <c r="D260" t="inlineStr">
        <is>
          <t>East</t>
        </is>
      </c>
      <c r="E260" t="inlineStr">
        <is>
          <t>Training</t>
        </is>
      </c>
      <c r="F260" t="n">
        <v>14</v>
      </c>
      <c r="G260" t="n">
        <v>199</v>
      </c>
      <c r="H260">
        <f>F260*G260</f>
        <v/>
      </c>
      <c r="I260" t="inlineStr">
        <is>
          <t>Web</t>
        </is>
      </c>
    </row>
    <row r="261">
      <c r="A261" t="inlineStr">
        <is>
          <t>SO-10259</t>
        </is>
      </c>
      <c r="B261" t="inlineStr">
        <is>
          <t>2026-04-12</t>
        </is>
      </c>
      <c r="C261">
        <f>TEXT(DATEVALUE(B261),"yyyy-mm")</f>
        <v/>
      </c>
      <c r="D261" t="inlineStr">
        <is>
          <t>South</t>
        </is>
      </c>
      <c r="E261" t="inlineStr">
        <is>
          <t>Hardware</t>
        </is>
      </c>
      <c r="F261" t="n">
        <v>11</v>
      </c>
      <c r="G261" t="n">
        <v>99</v>
      </c>
      <c r="H261">
        <f>F261*G261</f>
        <v/>
      </c>
      <c r="I261" t="inlineStr">
        <is>
          <t>Web</t>
        </is>
      </c>
    </row>
    <row r="262">
      <c r="A262" t="inlineStr">
        <is>
          <t>SO-10260</t>
        </is>
      </c>
      <c r="B262" t="inlineStr">
        <is>
          <t>2026-02-23</t>
        </is>
      </c>
      <c r="C262">
        <f>TEXT(DATEVALUE(B262),"yyyy-mm")</f>
        <v/>
      </c>
      <c r="D262" t="inlineStr">
        <is>
          <t>West</t>
        </is>
      </c>
      <c r="E262" t="inlineStr">
        <is>
          <t>Training</t>
        </is>
      </c>
      <c r="F262" t="n">
        <v>10</v>
      </c>
      <c r="G262" t="n">
        <v>49</v>
      </c>
      <c r="H262">
        <f>F262*G262</f>
        <v/>
      </c>
      <c r="I262" t="inlineStr">
        <is>
          <t>Web</t>
        </is>
      </c>
    </row>
    <row r="263">
      <c r="A263" t="inlineStr">
        <is>
          <t>SO-10261</t>
        </is>
      </c>
      <c r="B263" t="inlineStr">
        <is>
          <t>2026-03-20</t>
        </is>
      </c>
      <c r="C263">
        <f>TEXT(DATEVALUE(B263),"yyyy-mm")</f>
        <v/>
      </c>
      <c r="D263" t="inlineStr">
        <is>
          <t>North</t>
        </is>
      </c>
      <c r="E263" t="inlineStr">
        <is>
          <t>Services</t>
        </is>
      </c>
      <c r="F263" t="n">
        <v>14</v>
      </c>
      <c r="G263" t="n">
        <v>349</v>
      </c>
      <c r="H263">
        <f>F263*G263</f>
        <v/>
      </c>
      <c r="I263" t="inlineStr">
        <is>
          <t>Partner</t>
        </is>
      </c>
    </row>
    <row r="264">
      <c r="A264" t="inlineStr">
        <is>
          <t>SO-10262</t>
        </is>
      </c>
      <c r="B264" t="inlineStr">
        <is>
          <t>2026-07-17</t>
        </is>
      </c>
      <c r="C264">
        <f>TEXT(DATEVALUE(B264),"yyyy-mm")</f>
        <v/>
      </c>
      <c r="D264" t="inlineStr">
        <is>
          <t>East</t>
        </is>
      </c>
      <c r="E264" t="inlineStr">
        <is>
          <t>Services</t>
        </is>
      </c>
      <c r="F264" t="n">
        <v>24</v>
      </c>
      <c r="G264" t="n">
        <v>349</v>
      </c>
      <c r="H264">
        <f>F264*G264</f>
        <v/>
      </c>
      <c r="I264" t="inlineStr">
        <is>
          <t>Partner</t>
        </is>
      </c>
    </row>
    <row r="265">
      <c r="A265" t="inlineStr">
        <is>
          <t>SO-10263</t>
        </is>
      </c>
      <c r="B265" t="inlineStr">
        <is>
          <t>2026-06-06</t>
        </is>
      </c>
      <c r="C265">
        <f>TEXT(DATEVALUE(B265),"yyyy-mm")</f>
        <v/>
      </c>
      <c r="D265" t="inlineStr">
        <is>
          <t>South</t>
        </is>
      </c>
      <c r="E265" t="inlineStr">
        <is>
          <t>Training</t>
        </is>
      </c>
      <c r="F265" t="n">
        <v>11</v>
      </c>
      <c r="G265" t="n">
        <v>99</v>
      </c>
      <c r="H265">
        <f>F265*G265</f>
        <v/>
      </c>
      <c r="I265" t="inlineStr">
        <is>
          <t>Direct</t>
        </is>
      </c>
    </row>
    <row r="266">
      <c r="A266" t="inlineStr">
        <is>
          <t>SO-10264</t>
        </is>
      </c>
      <c r="B266" t="inlineStr">
        <is>
          <t>2026-03-20</t>
        </is>
      </c>
      <c r="C266">
        <f>TEXT(DATEVALUE(B266),"yyyy-mm")</f>
        <v/>
      </c>
      <c r="D266" t="inlineStr">
        <is>
          <t>South</t>
        </is>
      </c>
      <c r="E266" t="inlineStr">
        <is>
          <t>Software</t>
        </is>
      </c>
      <c r="F266" t="n">
        <v>24</v>
      </c>
      <c r="G266" t="n">
        <v>199</v>
      </c>
      <c r="H266">
        <f>F266*G266</f>
        <v/>
      </c>
      <c r="I266" t="inlineStr">
        <is>
          <t>Web</t>
        </is>
      </c>
    </row>
    <row r="267">
      <c r="A267" t="inlineStr">
        <is>
          <t>SO-10265</t>
        </is>
      </c>
      <c r="B267" t="inlineStr">
        <is>
          <t>2026-07-20</t>
        </is>
      </c>
      <c r="C267">
        <f>TEXT(DATEVALUE(B267),"yyyy-mm")</f>
        <v/>
      </c>
      <c r="D267" t="inlineStr">
        <is>
          <t>South</t>
        </is>
      </c>
      <c r="E267" t="inlineStr">
        <is>
          <t>Software</t>
        </is>
      </c>
      <c r="F267" t="n">
        <v>22</v>
      </c>
      <c r="G267" t="n">
        <v>199</v>
      </c>
      <c r="H267">
        <f>F267*G267</f>
        <v/>
      </c>
      <c r="I267" t="inlineStr">
        <is>
          <t>Web</t>
        </is>
      </c>
    </row>
    <row r="268">
      <c r="A268" t="inlineStr">
        <is>
          <t>SO-10266</t>
        </is>
      </c>
      <c r="B268" t="inlineStr">
        <is>
          <t>2026-08-19</t>
        </is>
      </c>
      <c r="C268">
        <f>TEXT(DATEVALUE(B268),"yyyy-mm")</f>
        <v/>
      </c>
      <c r="D268" t="inlineStr">
        <is>
          <t>East</t>
        </is>
      </c>
      <c r="E268" t="inlineStr">
        <is>
          <t>Services</t>
        </is>
      </c>
      <c r="F268" t="n">
        <v>23</v>
      </c>
      <c r="G268" t="n">
        <v>99</v>
      </c>
      <c r="H268">
        <f>F268*G268</f>
        <v/>
      </c>
      <c r="I268" t="inlineStr">
        <is>
          <t>Partner</t>
        </is>
      </c>
    </row>
    <row r="269">
      <c r="A269" t="inlineStr">
        <is>
          <t>SO-10267</t>
        </is>
      </c>
      <c r="B269" t="inlineStr">
        <is>
          <t>2026-05-21</t>
        </is>
      </c>
      <c r="C269">
        <f>TEXT(DATEVALUE(B269),"yyyy-mm")</f>
        <v/>
      </c>
      <c r="D269" t="inlineStr">
        <is>
          <t>West</t>
        </is>
      </c>
      <c r="E269" t="inlineStr">
        <is>
          <t>Software</t>
        </is>
      </c>
      <c r="F269" t="n">
        <v>22</v>
      </c>
      <c r="G269" t="n">
        <v>349</v>
      </c>
      <c r="H269">
        <f>F269*G269</f>
        <v/>
      </c>
      <c r="I269" t="inlineStr">
        <is>
          <t>Web</t>
        </is>
      </c>
    </row>
    <row r="270">
      <c r="A270" t="inlineStr">
        <is>
          <t>SO-10268</t>
        </is>
      </c>
      <c r="B270" t="inlineStr">
        <is>
          <t>2026-03-23</t>
        </is>
      </c>
      <c r="C270">
        <f>TEXT(DATEVALUE(B270),"yyyy-mm")</f>
        <v/>
      </c>
      <c r="D270" t="inlineStr">
        <is>
          <t>South</t>
        </is>
      </c>
      <c r="E270" t="inlineStr">
        <is>
          <t>Services</t>
        </is>
      </c>
      <c r="F270" t="n">
        <v>4</v>
      </c>
      <c r="G270" t="n">
        <v>49</v>
      </c>
      <c r="H270">
        <f>F270*G270</f>
        <v/>
      </c>
      <c r="I270" t="inlineStr">
        <is>
          <t>Partner</t>
        </is>
      </c>
    </row>
    <row r="271">
      <c r="A271" t="inlineStr">
        <is>
          <t>SO-10269</t>
        </is>
      </c>
      <c r="B271" t="inlineStr">
        <is>
          <t>2026-09-26</t>
        </is>
      </c>
      <c r="C271">
        <f>TEXT(DATEVALUE(B271),"yyyy-mm")</f>
        <v/>
      </c>
      <c r="D271" t="inlineStr">
        <is>
          <t>East</t>
        </is>
      </c>
      <c r="E271" t="inlineStr">
        <is>
          <t>Hardware</t>
        </is>
      </c>
      <c r="F271" t="n">
        <v>4</v>
      </c>
      <c r="G271" t="n">
        <v>349</v>
      </c>
      <c r="H271">
        <f>F271*G271</f>
        <v/>
      </c>
      <c r="I271" t="inlineStr">
        <is>
          <t>Direct</t>
        </is>
      </c>
    </row>
    <row r="272">
      <c r="A272" t="inlineStr">
        <is>
          <t>SO-10270</t>
        </is>
      </c>
      <c r="B272" t="inlineStr">
        <is>
          <t>2026-08-06</t>
        </is>
      </c>
      <c r="C272">
        <f>TEXT(DATEVALUE(B272),"yyyy-mm")</f>
        <v/>
      </c>
      <c r="D272" t="inlineStr">
        <is>
          <t>East</t>
        </is>
      </c>
      <c r="E272" t="inlineStr">
        <is>
          <t>Training</t>
        </is>
      </c>
      <c r="F272" t="n">
        <v>12</v>
      </c>
      <c r="G272" t="n">
        <v>49</v>
      </c>
      <c r="H272">
        <f>F272*G272</f>
        <v/>
      </c>
      <c r="I272" t="inlineStr">
        <is>
          <t>Direct</t>
        </is>
      </c>
    </row>
    <row r="273">
      <c r="A273" t="inlineStr">
        <is>
          <t>SO-10271</t>
        </is>
      </c>
      <c r="B273" t="inlineStr">
        <is>
          <t>2026-05-08</t>
        </is>
      </c>
      <c r="C273">
        <f>TEXT(DATEVALUE(B273),"yyyy-mm")</f>
        <v/>
      </c>
      <c r="D273" t="inlineStr">
        <is>
          <t>West</t>
        </is>
      </c>
      <c r="E273" t="inlineStr">
        <is>
          <t>Software</t>
        </is>
      </c>
      <c r="F273" t="n">
        <v>13</v>
      </c>
      <c r="G273" t="n">
        <v>799</v>
      </c>
      <c r="H273">
        <f>F273*G273</f>
        <v/>
      </c>
      <c r="I273" t="inlineStr">
        <is>
          <t>Direct</t>
        </is>
      </c>
    </row>
    <row r="274">
      <c r="A274" t="inlineStr">
        <is>
          <t>SO-10272</t>
        </is>
      </c>
      <c r="B274" t="inlineStr">
        <is>
          <t>2026-07-22</t>
        </is>
      </c>
      <c r="C274">
        <f>TEXT(DATEVALUE(B274),"yyyy-mm")</f>
        <v/>
      </c>
      <c r="D274" t="inlineStr">
        <is>
          <t>East</t>
        </is>
      </c>
      <c r="E274" t="inlineStr">
        <is>
          <t>Software</t>
        </is>
      </c>
      <c r="F274" t="n">
        <v>23</v>
      </c>
      <c r="G274" t="n">
        <v>99</v>
      </c>
      <c r="H274">
        <f>F274*G274</f>
        <v/>
      </c>
      <c r="I274" t="inlineStr">
        <is>
          <t>Partner</t>
        </is>
      </c>
    </row>
    <row r="275">
      <c r="A275" t="inlineStr">
        <is>
          <t>SO-10273</t>
        </is>
      </c>
      <c r="B275" t="inlineStr">
        <is>
          <t>2026-03-27</t>
        </is>
      </c>
      <c r="C275">
        <f>TEXT(DATEVALUE(B275),"yyyy-mm")</f>
        <v/>
      </c>
      <c r="D275" t="inlineStr">
        <is>
          <t>East</t>
        </is>
      </c>
      <c r="E275" t="inlineStr">
        <is>
          <t>Training</t>
        </is>
      </c>
      <c r="F275" t="n">
        <v>4</v>
      </c>
      <c r="G275" t="n">
        <v>799</v>
      </c>
      <c r="H275">
        <f>F275*G275</f>
        <v/>
      </c>
      <c r="I275" t="inlineStr">
        <is>
          <t>Partner</t>
        </is>
      </c>
    </row>
    <row r="276">
      <c r="A276" t="inlineStr">
        <is>
          <t>SO-10274</t>
        </is>
      </c>
      <c r="B276" t="inlineStr">
        <is>
          <t>2026-02-05</t>
        </is>
      </c>
      <c r="C276">
        <f>TEXT(DATEVALUE(B276),"yyyy-mm")</f>
        <v/>
      </c>
      <c r="D276" t="inlineStr">
        <is>
          <t>East</t>
        </is>
      </c>
      <c r="E276" t="inlineStr">
        <is>
          <t>Software</t>
        </is>
      </c>
      <c r="F276" t="n">
        <v>11</v>
      </c>
      <c r="G276" t="n">
        <v>49</v>
      </c>
      <c r="H276">
        <f>F276*G276</f>
        <v/>
      </c>
      <c r="I276" t="inlineStr">
        <is>
          <t>Partner</t>
        </is>
      </c>
    </row>
    <row r="277">
      <c r="A277" t="inlineStr">
        <is>
          <t>SO-10275</t>
        </is>
      </c>
      <c r="B277" t="inlineStr">
        <is>
          <t>2026-07-09</t>
        </is>
      </c>
      <c r="C277">
        <f>TEXT(DATEVALUE(B277),"yyyy-mm")</f>
        <v/>
      </c>
      <c r="D277" t="inlineStr">
        <is>
          <t>North</t>
        </is>
      </c>
      <c r="E277" t="inlineStr">
        <is>
          <t>Training</t>
        </is>
      </c>
      <c r="F277" t="n">
        <v>11</v>
      </c>
      <c r="G277" t="n">
        <v>99</v>
      </c>
      <c r="H277">
        <f>F277*G277</f>
        <v/>
      </c>
      <c r="I277" t="inlineStr">
        <is>
          <t>Web</t>
        </is>
      </c>
    </row>
    <row r="278">
      <c r="A278" t="inlineStr">
        <is>
          <t>SO-10276</t>
        </is>
      </c>
      <c r="B278" t="inlineStr">
        <is>
          <t>2026-06-18</t>
        </is>
      </c>
      <c r="C278">
        <f>TEXT(DATEVALUE(B278),"yyyy-mm")</f>
        <v/>
      </c>
      <c r="D278" t="inlineStr">
        <is>
          <t>North</t>
        </is>
      </c>
      <c r="E278" t="inlineStr">
        <is>
          <t>Software</t>
        </is>
      </c>
      <c r="F278" t="n">
        <v>9</v>
      </c>
      <c r="G278" t="n">
        <v>799</v>
      </c>
      <c r="H278">
        <f>F278*G278</f>
        <v/>
      </c>
      <c r="I278" t="inlineStr">
        <is>
          <t>Web</t>
        </is>
      </c>
    </row>
    <row r="279">
      <c r="A279" t="inlineStr">
        <is>
          <t>SO-10277</t>
        </is>
      </c>
      <c r="B279" t="inlineStr">
        <is>
          <t>2026-01-25</t>
        </is>
      </c>
      <c r="C279">
        <f>TEXT(DATEVALUE(B279),"yyyy-mm")</f>
        <v/>
      </c>
      <c r="D279" t="inlineStr">
        <is>
          <t>North</t>
        </is>
      </c>
      <c r="E279" t="inlineStr">
        <is>
          <t>Software</t>
        </is>
      </c>
      <c r="F279" t="n">
        <v>10</v>
      </c>
      <c r="G279" t="n">
        <v>49</v>
      </c>
      <c r="H279">
        <f>F279*G279</f>
        <v/>
      </c>
      <c r="I279" t="inlineStr">
        <is>
          <t>Partner</t>
        </is>
      </c>
    </row>
    <row r="280">
      <c r="A280" t="inlineStr">
        <is>
          <t>SO-10278</t>
        </is>
      </c>
      <c r="B280" t="inlineStr">
        <is>
          <t>2026-08-05</t>
        </is>
      </c>
      <c r="C280">
        <f>TEXT(DATEVALUE(B280),"yyyy-mm")</f>
        <v/>
      </c>
      <c r="D280" t="inlineStr">
        <is>
          <t>West</t>
        </is>
      </c>
      <c r="E280" t="inlineStr">
        <is>
          <t>Hardware</t>
        </is>
      </c>
      <c r="F280" t="n">
        <v>7</v>
      </c>
      <c r="G280" t="n">
        <v>349</v>
      </c>
      <c r="H280">
        <f>F280*G280</f>
        <v/>
      </c>
      <c r="I280" t="inlineStr">
        <is>
          <t>Partner</t>
        </is>
      </c>
    </row>
    <row r="281">
      <c r="A281" t="inlineStr">
        <is>
          <t>SO-10279</t>
        </is>
      </c>
      <c r="B281" t="inlineStr">
        <is>
          <t>2026-06-26</t>
        </is>
      </c>
      <c r="C281">
        <f>TEXT(DATEVALUE(B281),"yyyy-mm")</f>
        <v/>
      </c>
      <c r="D281" t="inlineStr">
        <is>
          <t>North</t>
        </is>
      </c>
      <c r="E281" t="inlineStr">
        <is>
          <t>Software</t>
        </is>
      </c>
      <c r="F281" t="n">
        <v>18</v>
      </c>
      <c r="G281" t="n">
        <v>349</v>
      </c>
      <c r="H281">
        <f>F281*G281</f>
        <v/>
      </c>
      <c r="I281" t="inlineStr">
        <is>
          <t>Direct</t>
        </is>
      </c>
    </row>
    <row r="282">
      <c r="A282" t="inlineStr">
        <is>
          <t>SO-10280</t>
        </is>
      </c>
      <c r="B282" t="inlineStr">
        <is>
          <t>2026-05-09</t>
        </is>
      </c>
      <c r="C282">
        <f>TEXT(DATEVALUE(B282),"yyyy-mm")</f>
        <v/>
      </c>
      <c r="D282" t="inlineStr">
        <is>
          <t>South</t>
        </is>
      </c>
      <c r="E282" t="inlineStr">
        <is>
          <t>Training</t>
        </is>
      </c>
      <c r="F282" t="n">
        <v>7</v>
      </c>
      <c r="G282" t="n">
        <v>199</v>
      </c>
      <c r="H282">
        <f>F282*G282</f>
        <v/>
      </c>
      <c r="I282" t="inlineStr">
        <is>
          <t>Direct</t>
        </is>
      </c>
    </row>
    <row r="283">
      <c r="A283" t="inlineStr">
        <is>
          <t>SO-10281</t>
        </is>
      </c>
      <c r="B283" t="inlineStr">
        <is>
          <t>2026-01-06</t>
        </is>
      </c>
      <c r="C283">
        <f>TEXT(DATEVALUE(B283),"yyyy-mm")</f>
        <v/>
      </c>
      <c r="D283" t="inlineStr">
        <is>
          <t>North</t>
        </is>
      </c>
      <c r="E283" t="inlineStr">
        <is>
          <t>Hardware</t>
        </is>
      </c>
      <c r="F283" t="n">
        <v>1</v>
      </c>
      <c r="G283" t="n">
        <v>99</v>
      </c>
      <c r="H283">
        <f>F283*G283</f>
        <v/>
      </c>
      <c r="I283" t="inlineStr">
        <is>
          <t>Partner</t>
        </is>
      </c>
    </row>
    <row r="284">
      <c r="A284" t="inlineStr">
        <is>
          <t>SO-10282</t>
        </is>
      </c>
      <c r="B284" t="inlineStr">
        <is>
          <t>2026-06-01</t>
        </is>
      </c>
      <c r="C284">
        <f>TEXT(DATEVALUE(B284),"yyyy-mm")</f>
        <v/>
      </c>
      <c r="D284" t="inlineStr">
        <is>
          <t>East</t>
        </is>
      </c>
      <c r="E284" t="inlineStr">
        <is>
          <t>Hardware</t>
        </is>
      </c>
      <c r="F284" t="n">
        <v>25</v>
      </c>
      <c r="G284" t="n">
        <v>799</v>
      </c>
      <c r="H284">
        <f>F284*G284</f>
        <v/>
      </c>
      <c r="I284" t="inlineStr">
        <is>
          <t>Direct</t>
        </is>
      </c>
    </row>
    <row r="285">
      <c r="A285" t="inlineStr">
        <is>
          <t>SO-10283</t>
        </is>
      </c>
      <c r="B285" t="inlineStr">
        <is>
          <t>2026-08-01</t>
        </is>
      </c>
      <c r="C285">
        <f>TEXT(DATEVALUE(B285),"yyyy-mm")</f>
        <v/>
      </c>
      <c r="D285" t="inlineStr">
        <is>
          <t>East</t>
        </is>
      </c>
      <c r="E285" t="inlineStr">
        <is>
          <t>Hardware</t>
        </is>
      </c>
      <c r="F285" t="n">
        <v>7</v>
      </c>
      <c r="G285" t="n">
        <v>49</v>
      </c>
      <c r="H285">
        <f>F285*G285</f>
        <v/>
      </c>
      <c r="I285" t="inlineStr">
        <is>
          <t>Direct</t>
        </is>
      </c>
    </row>
    <row r="286">
      <c r="A286" t="inlineStr">
        <is>
          <t>SO-10284</t>
        </is>
      </c>
      <c r="B286" t="inlineStr">
        <is>
          <t>2026-05-26</t>
        </is>
      </c>
      <c r="C286">
        <f>TEXT(DATEVALUE(B286),"yyyy-mm")</f>
        <v/>
      </c>
      <c r="D286" t="inlineStr">
        <is>
          <t>West</t>
        </is>
      </c>
      <c r="E286" t="inlineStr">
        <is>
          <t>Services</t>
        </is>
      </c>
      <c r="F286" t="n">
        <v>8</v>
      </c>
      <c r="G286" t="n">
        <v>349</v>
      </c>
      <c r="H286">
        <f>F286*G286</f>
        <v/>
      </c>
      <c r="I286" t="inlineStr">
        <is>
          <t>Direct</t>
        </is>
      </c>
    </row>
    <row r="287">
      <c r="A287" t="inlineStr">
        <is>
          <t>SO-10285</t>
        </is>
      </c>
      <c r="B287" t="inlineStr">
        <is>
          <t>2026-02-16</t>
        </is>
      </c>
      <c r="C287">
        <f>TEXT(DATEVALUE(B287),"yyyy-mm")</f>
        <v/>
      </c>
      <c r="D287" t="inlineStr">
        <is>
          <t>East</t>
        </is>
      </c>
      <c r="E287" t="inlineStr">
        <is>
          <t>Hardware</t>
        </is>
      </c>
      <c r="F287" t="n">
        <v>13</v>
      </c>
      <c r="G287" t="n">
        <v>349</v>
      </c>
      <c r="H287">
        <f>F287*G287</f>
        <v/>
      </c>
      <c r="I287" t="inlineStr">
        <is>
          <t>Web</t>
        </is>
      </c>
    </row>
    <row r="288">
      <c r="A288" t="inlineStr">
        <is>
          <t>SO-10286</t>
        </is>
      </c>
      <c r="B288" t="inlineStr">
        <is>
          <t>2026-03-08</t>
        </is>
      </c>
      <c r="C288">
        <f>TEXT(DATEVALUE(B288),"yyyy-mm")</f>
        <v/>
      </c>
      <c r="D288" t="inlineStr">
        <is>
          <t>East</t>
        </is>
      </c>
      <c r="E288" t="inlineStr">
        <is>
          <t>Services</t>
        </is>
      </c>
      <c r="F288" t="n">
        <v>11</v>
      </c>
      <c r="G288" t="n">
        <v>349</v>
      </c>
      <c r="H288">
        <f>F288*G288</f>
        <v/>
      </c>
      <c r="I288" t="inlineStr">
        <is>
          <t>Partner</t>
        </is>
      </c>
    </row>
    <row r="289">
      <c r="A289" t="inlineStr">
        <is>
          <t>SO-10287</t>
        </is>
      </c>
      <c r="B289" t="inlineStr">
        <is>
          <t>2026-08-12</t>
        </is>
      </c>
      <c r="C289">
        <f>TEXT(DATEVALUE(B289),"yyyy-mm")</f>
        <v/>
      </c>
      <c r="D289" t="inlineStr">
        <is>
          <t>North</t>
        </is>
      </c>
      <c r="E289" t="inlineStr">
        <is>
          <t>Services</t>
        </is>
      </c>
      <c r="F289" t="n">
        <v>10</v>
      </c>
      <c r="G289" t="n">
        <v>199</v>
      </c>
      <c r="H289">
        <f>F289*G289</f>
        <v/>
      </c>
      <c r="I289" t="inlineStr">
        <is>
          <t>Direct</t>
        </is>
      </c>
    </row>
    <row r="290">
      <c r="A290" t="inlineStr">
        <is>
          <t>SO-10288</t>
        </is>
      </c>
      <c r="B290" t="inlineStr">
        <is>
          <t>2026-02-09</t>
        </is>
      </c>
      <c r="C290">
        <f>TEXT(DATEVALUE(B290),"yyyy-mm")</f>
        <v/>
      </c>
      <c r="D290" t="inlineStr">
        <is>
          <t>South</t>
        </is>
      </c>
      <c r="E290" t="inlineStr">
        <is>
          <t>Software</t>
        </is>
      </c>
      <c r="F290" t="n">
        <v>11</v>
      </c>
      <c r="G290" t="n">
        <v>99</v>
      </c>
      <c r="H290">
        <f>F290*G290</f>
        <v/>
      </c>
      <c r="I290" t="inlineStr">
        <is>
          <t>Web</t>
        </is>
      </c>
    </row>
    <row r="291">
      <c r="A291" t="inlineStr">
        <is>
          <t>SO-10289</t>
        </is>
      </c>
      <c r="B291" t="inlineStr">
        <is>
          <t>2026-03-18</t>
        </is>
      </c>
      <c r="C291">
        <f>TEXT(DATEVALUE(B291),"yyyy-mm")</f>
        <v/>
      </c>
      <c r="D291" t="inlineStr">
        <is>
          <t>South</t>
        </is>
      </c>
      <c r="E291" t="inlineStr">
        <is>
          <t>Services</t>
        </is>
      </c>
      <c r="F291" t="n">
        <v>10</v>
      </c>
      <c r="G291" t="n">
        <v>99</v>
      </c>
      <c r="H291">
        <f>F291*G291</f>
        <v/>
      </c>
      <c r="I291" t="inlineStr">
        <is>
          <t>Web</t>
        </is>
      </c>
    </row>
    <row r="292">
      <c r="A292" t="inlineStr">
        <is>
          <t>SO-10290</t>
        </is>
      </c>
      <c r="B292" t="inlineStr">
        <is>
          <t>2026-03-05</t>
        </is>
      </c>
      <c r="C292">
        <f>TEXT(DATEVALUE(B292),"yyyy-mm")</f>
        <v/>
      </c>
      <c r="D292" t="inlineStr">
        <is>
          <t>South</t>
        </is>
      </c>
      <c r="E292" t="inlineStr">
        <is>
          <t>Training</t>
        </is>
      </c>
      <c r="F292" t="n">
        <v>12</v>
      </c>
      <c r="G292" t="n">
        <v>199</v>
      </c>
      <c r="H292">
        <f>F292*G292</f>
        <v/>
      </c>
      <c r="I292" t="inlineStr">
        <is>
          <t>Web</t>
        </is>
      </c>
    </row>
    <row r="293">
      <c r="A293" t="inlineStr">
        <is>
          <t>SO-10291</t>
        </is>
      </c>
      <c r="B293" t="inlineStr">
        <is>
          <t>2026-01-13</t>
        </is>
      </c>
      <c r="C293">
        <f>TEXT(DATEVALUE(B293),"yyyy-mm")</f>
        <v/>
      </c>
      <c r="D293" t="inlineStr">
        <is>
          <t>West</t>
        </is>
      </c>
      <c r="E293" t="inlineStr">
        <is>
          <t>Hardware</t>
        </is>
      </c>
      <c r="F293" t="n">
        <v>17</v>
      </c>
      <c r="G293" t="n">
        <v>49</v>
      </c>
      <c r="H293">
        <f>F293*G293</f>
        <v/>
      </c>
      <c r="I293" t="inlineStr">
        <is>
          <t>Partner</t>
        </is>
      </c>
    </row>
    <row r="294">
      <c r="A294" t="inlineStr">
        <is>
          <t>SO-10292</t>
        </is>
      </c>
      <c r="B294" t="inlineStr">
        <is>
          <t>2026-09-27</t>
        </is>
      </c>
      <c r="C294">
        <f>TEXT(DATEVALUE(B294),"yyyy-mm")</f>
        <v/>
      </c>
      <c r="D294" t="inlineStr">
        <is>
          <t>North</t>
        </is>
      </c>
      <c r="E294" t="inlineStr">
        <is>
          <t>Software</t>
        </is>
      </c>
      <c r="F294" t="n">
        <v>25</v>
      </c>
      <c r="G294" t="n">
        <v>99</v>
      </c>
      <c r="H294">
        <f>F294*G294</f>
        <v/>
      </c>
      <c r="I294" t="inlineStr">
        <is>
          <t>Partner</t>
        </is>
      </c>
    </row>
    <row r="295">
      <c r="A295" t="inlineStr">
        <is>
          <t>SO-10293</t>
        </is>
      </c>
      <c r="B295" t="inlineStr">
        <is>
          <t>2026-02-25</t>
        </is>
      </c>
      <c r="C295">
        <f>TEXT(DATEVALUE(B295),"yyyy-mm")</f>
        <v/>
      </c>
      <c r="D295" t="inlineStr">
        <is>
          <t>East</t>
        </is>
      </c>
      <c r="E295" t="inlineStr">
        <is>
          <t>Training</t>
        </is>
      </c>
      <c r="F295" t="n">
        <v>19</v>
      </c>
      <c r="G295" t="n">
        <v>49</v>
      </c>
      <c r="H295">
        <f>F295*G295</f>
        <v/>
      </c>
      <c r="I295" t="inlineStr">
        <is>
          <t>Partner</t>
        </is>
      </c>
    </row>
    <row r="296">
      <c r="A296" t="inlineStr">
        <is>
          <t>SO-10294</t>
        </is>
      </c>
      <c r="B296" t="inlineStr">
        <is>
          <t>2026-04-16</t>
        </is>
      </c>
      <c r="C296">
        <f>TEXT(DATEVALUE(B296),"yyyy-mm")</f>
        <v/>
      </c>
      <c r="D296" t="inlineStr">
        <is>
          <t>East</t>
        </is>
      </c>
      <c r="E296" t="inlineStr">
        <is>
          <t>Hardware</t>
        </is>
      </c>
      <c r="F296" t="n">
        <v>14</v>
      </c>
      <c r="G296" t="n">
        <v>99</v>
      </c>
      <c r="H296">
        <f>F296*G296</f>
        <v/>
      </c>
      <c r="I296" t="inlineStr">
        <is>
          <t>Direct</t>
        </is>
      </c>
    </row>
    <row r="297">
      <c r="A297" t="inlineStr">
        <is>
          <t>SO-10295</t>
        </is>
      </c>
      <c r="B297" t="inlineStr">
        <is>
          <t>2026-07-11</t>
        </is>
      </c>
      <c r="C297">
        <f>TEXT(DATEVALUE(B297),"yyyy-mm")</f>
        <v/>
      </c>
      <c r="D297" t="inlineStr">
        <is>
          <t>North</t>
        </is>
      </c>
      <c r="E297" t="inlineStr">
        <is>
          <t>Software</t>
        </is>
      </c>
      <c r="F297" t="n">
        <v>6</v>
      </c>
      <c r="G297" t="n">
        <v>199</v>
      </c>
      <c r="H297">
        <f>F297*G297</f>
        <v/>
      </c>
      <c r="I297" t="inlineStr">
        <is>
          <t>Direct</t>
        </is>
      </c>
    </row>
    <row r="298">
      <c r="A298" t="inlineStr">
        <is>
          <t>SO-10296</t>
        </is>
      </c>
      <c r="B298" t="inlineStr">
        <is>
          <t>2026-07-21</t>
        </is>
      </c>
      <c r="C298">
        <f>TEXT(DATEVALUE(B298),"yyyy-mm")</f>
        <v/>
      </c>
      <c r="D298" t="inlineStr">
        <is>
          <t>East</t>
        </is>
      </c>
      <c r="E298" t="inlineStr">
        <is>
          <t>Training</t>
        </is>
      </c>
      <c r="F298" t="n">
        <v>2</v>
      </c>
      <c r="G298" t="n">
        <v>99</v>
      </c>
      <c r="H298">
        <f>F298*G298</f>
        <v/>
      </c>
      <c r="I298" t="inlineStr">
        <is>
          <t>Direct</t>
        </is>
      </c>
    </row>
    <row r="299">
      <c r="A299" t="inlineStr">
        <is>
          <t>SO-10297</t>
        </is>
      </c>
      <c r="B299" t="inlineStr">
        <is>
          <t>2026-07-17</t>
        </is>
      </c>
      <c r="C299">
        <f>TEXT(DATEVALUE(B299),"yyyy-mm")</f>
        <v/>
      </c>
      <c r="D299" t="inlineStr">
        <is>
          <t>North</t>
        </is>
      </c>
      <c r="E299" t="inlineStr">
        <is>
          <t>Training</t>
        </is>
      </c>
      <c r="F299" t="n">
        <v>19</v>
      </c>
      <c r="G299" t="n">
        <v>49</v>
      </c>
      <c r="H299">
        <f>F299*G299</f>
        <v/>
      </c>
      <c r="I299" t="inlineStr">
        <is>
          <t>Partner</t>
        </is>
      </c>
    </row>
    <row r="300">
      <c r="A300" t="inlineStr">
        <is>
          <t>SO-10298</t>
        </is>
      </c>
      <c r="B300" t="inlineStr">
        <is>
          <t>2026-08-14</t>
        </is>
      </c>
      <c r="C300">
        <f>TEXT(DATEVALUE(B300),"yyyy-mm")</f>
        <v/>
      </c>
      <c r="D300" t="inlineStr">
        <is>
          <t>South</t>
        </is>
      </c>
      <c r="E300" t="inlineStr">
        <is>
          <t>Training</t>
        </is>
      </c>
      <c r="F300" t="n">
        <v>13</v>
      </c>
      <c r="G300" t="n">
        <v>799</v>
      </c>
      <c r="H300">
        <f>F300*G300</f>
        <v/>
      </c>
      <c r="I300" t="inlineStr">
        <is>
          <t>Direct</t>
        </is>
      </c>
    </row>
    <row r="301">
      <c r="A301" t="inlineStr">
        <is>
          <t>SO-10299</t>
        </is>
      </c>
      <c r="B301" t="inlineStr">
        <is>
          <t>2026-09-19</t>
        </is>
      </c>
      <c r="C301">
        <f>TEXT(DATEVALUE(B301),"yyyy-mm")</f>
        <v/>
      </c>
      <c r="D301" t="inlineStr">
        <is>
          <t>North</t>
        </is>
      </c>
      <c r="E301" t="inlineStr">
        <is>
          <t>Training</t>
        </is>
      </c>
      <c r="F301" t="n">
        <v>2</v>
      </c>
      <c r="G301" t="n">
        <v>799</v>
      </c>
      <c r="H301">
        <f>F301*G301</f>
        <v/>
      </c>
      <c r="I301" t="inlineStr">
        <is>
          <t>Partner</t>
        </is>
      </c>
    </row>
    <row r="302">
      <c r="A302" t="inlineStr">
        <is>
          <t>SO-10300</t>
        </is>
      </c>
      <c r="B302" t="inlineStr">
        <is>
          <t>2026-05-19</t>
        </is>
      </c>
      <c r="C302">
        <f>TEXT(DATEVALUE(B302),"yyyy-mm")</f>
        <v/>
      </c>
      <c r="D302" t="inlineStr">
        <is>
          <t>North</t>
        </is>
      </c>
      <c r="E302" t="inlineStr">
        <is>
          <t>Services</t>
        </is>
      </c>
      <c r="F302" t="n">
        <v>2</v>
      </c>
      <c r="G302" t="n">
        <v>799</v>
      </c>
      <c r="H302">
        <f>F302*G302</f>
        <v/>
      </c>
      <c r="I302" t="inlineStr">
        <is>
          <t>Web</t>
        </is>
      </c>
    </row>
    <row r="303">
      <c r="A303" t="inlineStr">
        <is>
          <t>SO-10301</t>
        </is>
      </c>
      <c r="B303" t="inlineStr">
        <is>
          <t>2026-09-15</t>
        </is>
      </c>
      <c r="C303">
        <f>TEXT(DATEVALUE(B303),"yyyy-mm")</f>
        <v/>
      </c>
      <c r="D303" t="inlineStr">
        <is>
          <t>East</t>
        </is>
      </c>
      <c r="E303" t="inlineStr">
        <is>
          <t>Software</t>
        </is>
      </c>
      <c r="F303" t="n">
        <v>11</v>
      </c>
      <c r="G303" t="n">
        <v>199</v>
      </c>
      <c r="H303">
        <f>F303*G303</f>
        <v/>
      </c>
      <c r="I303" t="inlineStr">
        <is>
          <t>Direct</t>
        </is>
      </c>
    </row>
    <row r="304">
      <c r="A304" t="inlineStr">
        <is>
          <t>SO-10302</t>
        </is>
      </c>
      <c r="B304" t="inlineStr">
        <is>
          <t>2026-08-18</t>
        </is>
      </c>
      <c r="C304">
        <f>TEXT(DATEVALUE(B304),"yyyy-mm")</f>
        <v/>
      </c>
      <c r="D304" t="inlineStr">
        <is>
          <t>South</t>
        </is>
      </c>
      <c r="E304" t="inlineStr">
        <is>
          <t>Training</t>
        </is>
      </c>
      <c r="F304" t="n">
        <v>13</v>
      </c>
      <c r="G304" t="n">
        <v>49</v>
      </c>
      <c r="H304">
        <f>F304*G304</f>
        <v/>
      </c>
      <c r="I304" t="inlineStr">
        <is>
          <t>Web</t>
        </is>
      </c>
    </row>
    <row r="305">
      <c r="A305" t="inlineStr">
        <is>
          <t>SO-10303</t>
        </is>
      </c>
      <c r="B305" t="inlineStr">
        <is>
          <t>2026-04-06</t>
        </is>
      </c>
      <c r="C305">
        <f>TEXT(DATEVALUE(B305),"yyyy-mm")</f>
        <v/>
      </c>
      <c r="D305" t="inlineStr">
        <is>
          <t>North</t>
        </is>
      </c>
      <c r="E305" t="inlineStr">
        <is>
          <t>Hardware</t>
        </is>
      </c>
      <c r="F305" t="n">
        <v>21</v>
      </c>
      <c r="G305" t="n">
        <v>99</v>
      </c>
      <c r="H305">
        <f>F305*G305</f>
        <v/>
      </c>
      <c r="I305" t="inlineStr">
        <is>
          <t>Direct</t>
        </is>
      </c>
    </row>
    <row r="306">
      <c r="A306" t="inlineStr">
        <is>
          <t>SO-10304</t>
        </is>
      </c>
      <c r="B306" t="inlineStr">
        <is>
          <t>2026-05-09</t>
        </is>
      </c>
      <c r="C306">
        <f>TEXT(DATEVALUE(B306),"yyyy-mm")</f>
        <v/>
      </c>
      <c r="D306" t="inlineStr">
        <is>
          <t>North</t>
        </is>
      </c>
      <c r="E306" t="inlineStr">
        <is>
          <t>Services</t>
        </is>
      </c>
      <c r="F306" t="n">
        <v>3</v>
      </c>
      <c r="G306" t="n">
        <v>99</v>
      </c>
      <c r="H306">
        <f>F306*G306</f>
        <v/>
      </c>
      <c r="I306" t="inlineStr">
        <is>
          <t>Partner</t>
        </is>
      </c>
    </row>
    <row r="307">
      <c r="A307" t="inlineStr">
        <is>
          <t>SO-10305</t>
        </is>
      </c>
      <c r="B307" t="inlineStr">
        <is>
          <t>2026-09-26</t>
        </is>
      </c>
      <c r="C307">
        <f>TEXT(DATEVALUE(B307),"yyyy-mm")</f>
        <v/>
      </c>
      <c r="D307" t="inlineStr">
        <is>
          <t>South</t>
        </is>
      </c>
      <c r="E307" t="inlineStr">
        <is>
          <t>Hardware</t>
        </is>
      </c>
      <c r="F307" t="n">
        <v>12</v>
      </c>
      <c r="G307" t="n">
        <v>349</v>
      </c>
      <c r="H307">
        <f>F307*G307</f>
        <v/>
      </c>
      <c r="I307" t="inlineStr">
        <is>
          <t>Partner</t>
        </is>
      </c>
    </row>
    <row r="308">
      <c r="A308" t="inlineStr">
        <is>
          <t>SO-10306</t>
        </is>
      </c>
      <c r="B308" t="inlineStr">
        <is>
          <t>2026-04-16</t>
        </is>
      </c>
      <c r="C308">
        <f>TEXT(DATEVALUE(B308),"yyyy-mm")</f>
        <v/>
      </c>
      <c r="D308" t="inlineStr">
        <is>
          <t>North</t>
        </is>
      </c>
      <c r="E308" t="inlineStr">
        <is>
          <t>Hardware</t>
        </is>
      </c>
      <c r="F308" t="n">
        <v>9</v>
      </c>
      <c r="G308" t="n">
        <v>99</v>
      </c>
      <c r="H308">
        <f>F308*G308</f>
        <v/>
      </c>
      <c r="I308" t="inlineStr">
        <is>
          <t>Direct</t>
        </is>
      </c>
    </row>
    <row r="309">
      <c r="A309" t="inlineStr">
        <is>
          <t>SO-10307</t>
        </is>
      </c>
      <c r="B309" t="inlineStr">
        <is>
          <t>2026-08-26</t>
        </is>
      </c>
      <c r="C309">
        <f>TEXT(DATEVALUE(B309),"yyyy-mm")</f>
        <v/>
      </c>
      <c r="D309" t="inlineStr">
        <is>
          <t>South</t>
        </is>
      </c>
      <c r="E309" t="inlineStr">
        <is>
          <t>Hardware</t>
        </is>
      </c>
      <c r="F309" t="n">
        <v>25</v>
      </c>
      <c r="G309" t="n">
        <v>349</v>
      </c>
      <c r="H309">
        <f>F309*G309</f>
        <v/>
      </c>
      <c r="I309" t="inlineStr">
        <is>
          <t>Partner</t>
        </is>
      </c>
    </row>
    <row r="310">
      <c r="A310" t="inlineStr">
        <is>
          <t>SO-10308</t>
        </is>
      </c>
      <c r="B310" t="inlineStr">
        <is>
          <t>2026-01-25</t>
        </is>
      </c>
      <c r="C310">
        <f>TEXT(DATEVALUE(B310),"yyyy-mm")</f>
        <v/>
      </c>
      <c r="D310" t="inlineStr">
        <is>
          <t>South</t>
        </is>
      </c>
      <c r="E310" t="inlineStr">
        <is>
          <t>Services</t>
        </is>
      </c>
      <c r="F310" t="n">
        <v>18</v>
      </c>
      <c r="G310" t="n">
        <v>49</v>
      </c>
      <c r="H310">
        <f>F310*G310</f>
        <v/>
      </c>
      <c r="I310" t="inlineStr">
        <is>
          <t>Web</t>
        </is>
      </c>
    </row>
    <row r="311">
      <c r="A311" t="inlineStr">
        <is>
          <t>SO-10309</t>
        </is>
      </c>
      <c r="B311" t="inlineStr">
        <is>
          <t>2026-02-11</t>
        </is>
      </c>
      <c r="C311">
        <f>TEXT(DATEVALUE(B311),"yyyy-mm")</f>
        <v/>
      </c>
      <c r="D311" t="inlineStr">
        <is>
          <t>South</t>
        </is>
      </c>
      <c r="E311" t="inlineStr">
        <is>
          <t>Services</t>
        </is>
      </c>
      <c r="F311" t="n">
        <v>2</v>
      </c>
      <c r="G311" t="n">
        <v>199</v>
      </c>
      <c r="H311">
        <f>F311*G311</f>
        <v/>
      </c>
      <c r="I311" t="inlineStr">
        <is>
          <t>Web</t>
        </is>
      </c>
    </row>
    <row r="312">
      <c r="A312" t="inlineStr">
        <is>
          <t>SO-10310</t>
        </is>
      </c>
      <c r="B312" t="inlineStr">
        <is>
          <t>2026-07-06</t>
        </is>
      </c>
      <c r="C312">
        <f>TEXT(DATEVALUE(B312),"yyyy-mm")</f>
        <v/>
      </c>
      <c r="D312" t="inlineStr">
        <is>
          <t>North</t>
        </is>
      </c>
      <c r="E312" t="inlineStr">
        <is>
          <t>Training</t>
        </is>
      </c>
      <c r="F312" t="n">
        <v>20</v>
      </c>
      <c r="G312" t="n">
        <v>349</v>
      </c>
      <c r="H312">
        <f>F312*G312</f>
        <v/>
      </c>
      <c r="I312" t="inlineStr">
        <is>
          <t>Partner</t>
        </is>
      </c>
    </row>
    <row r="313">
      <c r="A313" t="inlineStr">
        <is>
          <t>SO-10311</t>
        </is>
      </c>
      <c r="B313" t="inlineStr">
        <is>
          <t>2026-02-03</t>
        </is>
      </c>
      <c r="C313">
        <f>TEXT(DATEVALUE(B313),"yyyy-mm")</f>
        <v/>
      </c>
      <c r="D313" t="inlineStr">
        <is>
          <t>East</t>
        </is>
      </c>
      <c r="E313" t="inlineStr">
        <is>
          <t>Software</t>
        </is>
      </c>
      <c r="F313" t="n">
        <v>21</v>
      </c>
      <c r="G313" t="n">
        <v>99</v>
      </c>
      <c r="H313">
        <f>F313*G313</f>
        <v/>
      </c>
      <c r="I313" t="inlineStr">
        <is>
          <t>Direct</t>
        </is>
      </c>
    </row>
    <row r="314">
      <c r="A314" t="inlineStr">
        <is>
          <t>SO-10312</t>
        </is>
      </c>
      <c r="B314" t="inlineStr">
        <is>
          <t>2026-07-13</t>
        </is>
      </c>
      <c r="C314">
        <f>TEXT(DATEVALUE(B314),"yyyy-mm")</f>
        <v/>
      </c>
      <c r="D314" t="inlineStr">
        <is>
          <t>East</t>
        </is>
      </c>
      <c r="E314" t="inlineStr">
        <is>
          <t>Services</t>
        </is>
      </c>
      <c r="F314" t="n">
        <v>1</v>
      </c>
      <c r="G314" t="n">
        <v>199</v>
      </c>
      <c r="H314">
        <f>F314*G314</f>
        <v/>
      </c>
      <c r="I314" t="inlineStr">
        <is>
          <t>Direct</t>
        </is>
      </c>
    </row>
    <row r="315">
      <c r="A315" t="inlineStr">
        <is>
          <t>SO-10313</t>
        </is>
      </c>
      <c r="B315" t="inlineStr">
        <is>
          <t>2026-04-23</t>
        </is>
      </c>
      <c r="C315">
        <f>TEXT(DATEVALUE(B315),"yyyy-mm")</f>
        <v/>
      </c>
      <c r="D315" t="inlineStr">
        <is>
          <t>South</t>
        </is>
      </c>
      <c r="E315" t="inlineStr">
        <is>
          <t>Software</t>
        </is>
      </c>
      <c r="F315" t="n">
        <v>7</v>
      </c>
      <c r="G315" t="n">
        <v>99</v>
      </c>
      <c r="H315">
        <f>F315*G315</f>
        <v/>
      </c>
      <c r="I315" t="inlineStr">
        <is>
          <t>Direct</t>
        </is>
      </c>
    </row>
    <row r="316">
      <c r="A316" t="inlineStr">
        <is>
          <t>SO-10314</t>
        </is>
      </c>
      <c r="B316" t="inlineStr">
        <is>
          <t>2026-08-02</t>
        </is>
      </c>
      <c r="C316">
        <f>TEXT(DATEVALUE(B316),"yyyy-mm")</f>
        <v/>
      </c>
      <c r="D316" t="inlineStr">
        <is>
          <t>North</t>
        </is>
      </c>
      <c r="E316" t="inlineStr">
        <is>
          <t>Services</t>
        </is>
      </c>
      <c r="F316" t="n">
        <v>5</v>
      </c>
      <c r="G316" t="n">
        <v>199</v>
      </c>
      <c r="H316">
        <f>F316*G316</f>
        <v/>
      </c>
      <c r="I316" t="inlineStr">
        <is>
          <t>Partner</t>
        </is>
      </c>
    </row>
    <row r="317">
      <c r="A317" t="inlineStr">
        <is>
          <t>SO-10315</t>
        </is>
      </c>
      <c r="B317" t="inlineStr">
        <is>
          <t>2026-06-10</t>
        </is>
      </c>
      <c r="C317">
        <f>TEXT(DATEVALUE(B317),"yyyy-mm")</f>
        <v/>
      </c>
      <c r="D317" t="inlineStr">
        <is>
          <t>North</t>
        </is>
      </c>
      <c r="E317" t="inlineStr">
        <is>
          <t>Software</t>
        </is>
      </c>
      <c r="F317" t="n">
        <v>7</v>
      </c>
      <c r="G317" t="n">
        <v>49</v>
      </c>
      <c r="H317">
        <f>F317*G317</f>
        <v/>
      </c>
      <c r="I317" t="inlineStr">
        <is>
          <t>Direct</t>
        </is>
      </c>
    </row>
    <row r="318">
      <c r="A318" t="inlineStr">
        <is>
          <t>SO-10316</t>
        </is>
      </c>
      <c r="B318" t="inlineStr">
        <is>
          <t>2026-06-28</t>
        </is>
      </c>
      <c r="C318">
        <f>TEXT(DATEVALUE(B318),"yyyy-mm")</f>
        <v/>
      </c>
      <c r="D318" t="inlineStr">
        <is>
          <t>South</t>
        </is>
      </c>
      <c r="E318" t="inlineStr">
        <is>
          <t>Software</t>
        </is>
      </c>
      <c r="F318" t="n">
        <v>10</v>
      </c>
      <c r="G318" t="n">
        <v>349</v>
      </c>
      <c r="H318">
        <f>F318*G318</f>
        <v/>
      </c>
      <c r="I318" t="inlineStr">
        <is>
          <t>Web</t>
        </is>
      </c>
    </row>
    <row r="319">
      <c r="A319" t="inlineStr">
        <is>
          <t>SO-10317</t>
        </is>
      </c>
      <c r="B319" t="inlineStr">
        <is>
          <t>2026-05-14</t>
        </is>
      </c>
      <c r="C319">
        <f>TEXT(DATEVALUE(B319),"yyyy-mm")</f>
        <v/>
      </c>
      <c r="D319" t="inlineStr">
        <is>
          <t>West</t>
        </is>
      </c>
      <c r="E319" t="inlineStr">
        <is>
          <t>Services</t>
        </is>
      </c>
      <c r="F319" t="n">
        <v>12</v>
      </c>
      <c r="G319" t="n">
        <v>799</v>
      </c>
      <c r="H319">
        <f>F319*G319</f>
        <v/>
      </c>
      <c r="I319" t="inlineStr">
        <is>
          <t>Partner</t>
        </is>
      </c>
    </row>
    <row r="320">
      <c r="A320" t="inlineStr">
        <is>
          <t>SO-10318</t>
        </is>
      </c>
      <c r="B320" t="inlineStr">
        <is>
          <t>2026-03-17</t>
        </is>
      </c>
      <c r="C320">
        <f>TEXT(DATEVALUE(B320),"yyyy-mm")</f>
        <v/>
      </c>
      <c r="D320" t="inlineStr">
        <is>
          <t>East</t>
        </is>
      </c>
      <c r="E320" t="inlineStr">
        <is>
          <t>Training</t>
        </is>
      </c>
      <c r="F320" t="n">
        <v>4</v>
      </c>
      <c r="G320" t="n">
        <v>49</v>
      </c>
      <c r="H320">
        <f>F320*G320</f>
        <v/>
      </c>
      <c r="I320" t="inlineStr">
        <is>
          <t>Web</t>
        </is>
      </c>
    </row>
    <row r="321">
      <c r="A321" t="inlineStr">
        <is>
          <t>SO-10319</t>
        </is>
      </c>
      <c r="B321" t="inlineStr">
        <is>
          <t>2026-08-19</t>
        </is>
      </c>
      <c r="C321">
        <f>TEXT(DATEVALUE(B321),"yyyy-mm")</f>
        <v/>
      </c>
      <c r="D321" t="inlineStr">
        <is>
          <t>North</t>
        </is>
      </c>
      <c r="E321" t="inlineStr">
        <is>
          <t>Services</t>
        </is>
      </c>
      <c r="F321" t="n">
        <v>4</v>
      </c>
      <c r="G321" t="n">
        <v>199</v>
      </c>
      <c r="H321">
        <f>F321*G321</f>
        <v/>
      </c>
      <c r="I321" t="inlineStr">
        <is>
          <t>Web</t>
        </is>
      </c>
    </row>
    <row r="322">
      <c r="A322" t="inlineStr">
        <is>
          <t>SO-10320</t>
        </is>
      </c>
      <c r="B322" t="inlineStr">
        <is>
          <t>2026-08-08</t>
        </is>
      </c>
      <c r="C322">
        <f>TEXT(DATEVALUE(B322),"yyyy-mm")</f>
        <v/>
      </c>
      <c r="D322" t="inlineStr">
        <is>
          <t>South</t>
        </is>
      </c>
      <c r="E322" t="inlineStr">
        <is>
          <t>Training</t>
        </is>
      </c>
      <c r="F322" t="n">
        <v>16</v>
      </c>
      <c r="G322" t="n">
        <v>349</v>
      </c>
      <c r="H322">
        <f>F322*G322</f>
        <v/>
      </c>
      <c r="I322" t="inlineStr">
        <is>
          <t>Direct</t>
        </is>
      </c>
    </row>
    <row r="323">
      <c r="A323" t="inlineStr">
        <is>
          <t>SO-10321</t>
        </is>
      </c>
      <c r="B323" t="inlineStr">
        <is>
          <t>2026-04-15</t>
        </is>
      </c>
      <c r="C323">
        <f>TEXT(DATEVALUE(B323),"yyyy-mm")</f>
        <v/>
      </c>
      <c r="D323" t="inlineStr">
        <is>
          <t>East</t>
        </is>
      </c>
      <c r="E323" t="inlineStr">
        <is>
          <t>Training</t>
        </is>
      </c>
      <c r="F323" t="n">
        <v>21</v>
      </c>
      <c r="G323" t="n">
        <v>49</v>
      </c>
      <c r="H323">
        <f>F323*G323</f>
        <v/>
      </c>
      <c r="I323" t="inlineStr">
        <is>
          <t>Partner</t>
        </is>
      </c>
    </row>
    <row r="324">
      <c r="A324" t="inlineStr">
        <is>
          <t>SO-10322</t>
        </is>
      </c>
      <c r="B324" t="inlineStr">
        <is>
          <t>2026-05-19</t>
        </is>
      </c>
      <c r="C324">
        <f>TEXT(DATEVALUE(B324),"yyyy-mm")</f>
        <v/>
      </c>
      <c r="D324" t="inlineStr">
        <is>
          <t>East</t>
        </is>
      </c>
      <c r="E324" t="inlineStr">
        <is>
          <t>Hardware</t>
        </is>
      </c>
      <c r="F324" t="n">
        <v>15</v>
      </c>
      <c r="G324" t="n">
        <v>199</v>
      </c>
      <c r="H324">
        <f>F324*G324</f>
        <v/>
      </c>
      <c r="I324" t="inlineStr">
        <is>
          <t>Direct</t>
        </is>
      </c>
    </row>
    <row r="325">
      <c r="A325" t="inlineStr">
        <is>
          <t>SO-10323</t>
        </is>
      </c>
      <c r="B325" t="inlineStr">
        <is>
          <t>2026-04-01</t>
        </is>
      </c>
      <c r="C325">
        <f>TEXT(DATEVALUE(B325),"yyyy-mm")</f>
        <v/>
      </c>
      <c r="D325" t="inlineStr">
        <is>
          <t>South</t>
        </is>
      </c>
      <c r="E325" t="inlineStr">
        <is>
          <t>Services</t>
        </is>
      </c>
      <c r="F325" t="n">
        <v>14</v>
      </c>
      <c r="G325" t="n">
        <v>199</v>
      </c>
      <c r="H325">
        <f>F325*G325</f>
        <v/>
      </c>
      <c r="I325" t="inlineStr">
        <is>
          <t>Partner</t>
        </is>
      </c>
    </row>
    <row r="326">
      <c r="A326" t="inlineStr">
        <is>
          <t>SO-10324</t>
        </is>
      </c>
      <c r="B326" t="inlineStr">
        <is>
          <t>2026-07-09</t>
        </is>
      </c>
      <c r="C326">
        <f>TEXT(DATEVALUE(B326),"yyyy-mm")</f>
        <v/>
      </c>
      <c r="D326" t="inlineStr">
        <is>
          <t>North</t>
        </is>
      </c>
      <c r="E326" t="inlineStr">
        <is>
          <t>Hardware</t>
        </is>
      </c>
      <c r="F326" t="n">
        <v>11</v>
      </c>
      <c r="G326" t="n">
        <v>49</v>
      </c>
      <c r="H326">
        <f>F326*G326</f>
        <v/>
      </c>
      <c r="I326" t="inlineStr">
        <is>
          <t>Partner</t>
        </is>
      </c>
    </row>
    <row r="327">
      <c r="A327" t="inlineStr">
        <is>
          <t>SO-10325</t>
        </is>
      </c>
      <c r="B327" t="inlineStr">
        <is>
          <t>2026-04-03</t>
        </is>
      </c>
      <c r="C327">
        <f>TEXT(DATEVALUE(B327),"yyyy-mm")</f>
        <v/>
      </c>
      <c r="D327" t="inlineStr">
        <is>
          <t>East</t>
        </is>
      </c>
      <c r="E327" t="inlineStr">
        <is>
          <t>Hardware</t>
        </is>
      </c>
      <c r="F327" t="n">
        <v>12</v>
      </c>
      <c r="G327" t="n">
        <v>49</v>
      </c>
      <c r="H327">
        <f>F327*G327</f>
        <v/>
      </c>
      <c r="I327" t="inlineStr">
        <is>
          <t>Direct</t>
        </is>
      </c>
    </row>
    <row r="328">
      <c r="A328" t="inlineStr">
        <is>
          <t>SO-10326</t>
        </is>
      </c>
      <c r="B328" t="inlineStr">
        <is>
          <t>2026-06-27</t>
        </is>
      </c>
      <c r="C328">
        <f>TEXT(DATEVALUE(B328),"yyyy-mm")</f>
        <v/>
      </c>
      <c r="D328" t="inlineStr">
        <is>
          <t>West</t>
        </is>
      </c>
      <c r="E328" t="inlineStr">
        <is>
          <t>Hardware</t>
        </is>
      </c>
      <c r="F328" t="n">
        <v>1</v>
      </c>
      <c r="G328" t="n">
        <v>99</v>
      </c>
      <c r="H328">
        <f>F328*G328</f>
        <v/>
      </c>
      <c r="I328" t="inlineStr">
        <is>
          <t>Partner</t>
        </is>
      </c>
    </row>
    <row r="329">
      <c r="A329" t="inlineStr">
        <is>
          <t>SO-10327</t>
        </is>
      </c>
      <c r="B329" t="inlineStr">
        <is>
          <t>2026-03-15</t>
        </is>
      </c>
      <c r="C329">
        <f>TEXT(DATEVALUE(B329),"yyyy-mm")</f>
        <v/>
      </c>
      <c r="D329" t="inlineStr">
        <is>
          <t>West</t>
        </is>
      </c>
      <c r="E329" t="inlineStr">
        <is>
          <t>Hardware</t>
        </is>
      </c>
      <c r="F329" t="n">
        <v>17</v>
      </c>
      <c r="G329" t="n">
        <v>199</v>
      </c>
      <c r="H329">
        <f>F329*G329</f>
        <v/>
      </c>
      <c r="I329" t="inlineStr">
        <is>
          <t>Web</t>
        </is>
      </c>
    </row>
    <row r="330">
      <c r="A330" t="inlineStr">
        <is>
          <t>SO-10328</t>
        </is>
      </c>
      <c r="B330" t="inlineStr">
        <is>
          <t>2026-01-26</t>
        </is>
      </c>
      <c r="C330">
        <f>TEXT(DATEVALUE(B330),"yyyy-mm")</f>
        <v/>
      </c>
      <c r="D330" t="inlineStr">
        <is>
          <t>South</t>
        </is>
      </c>
      <c r="E330" t="inlineStr">
        <is>
          <t>Hardware</t>
        </is>
      </c>
      <c r="F330" t="n">
        <v>13</v>
      </c>
      <c r="G330" t="n">
        <v>349</v>
      </c>
      <c r="H330">
        <f>F330*G330</f>
        <v/>
      </c>
      <c r="I330" t="inlineStr">
        <is>
          <t>Web</t>
        </is>
      </c>
    </row>
    <row r="331">
      <c r="A331" t="inlineStr">
        <is>
          <t>SO-10329</t>
        </is>
      </c>
      <c r="B331" t="inlineStr">
        <is>
          <t>2026-02-15</t>
        </is>
      </c>
      <c r="C331">
        <f>TEXT(DATEVALUE(B331),"yyyy-mm")</f>
        <v/>
      </c>
      <c r="D331" t="inlineStr">
        <is>
          <t>South</t>
        </is>
      </c>
      <c r="E331" t="inlineStr">
        <is>
          <t>Software</t>
        </is>
      </c>
      <c r="F331" t="n">
        <v>21</v>
      </c>
      <c r="G331" t="n">
        <v>349</v>
      </c>
      <c r="H331">
        <f>F331*G331</f>
        <v/>
      </c>
      <c r="I331" t="inlineStr">
        <is>
          <t>Partner</t>
        </is>
      </c>
    </row>
    <row r="332">
      <c r="A332" t="inlineStr">
        <is>
          <t>SO-10330</t>
        </is>
      </c>
      <c r="B332" t="inlineStr">
        <is>
          <t>2026-06-27</t>
        </is>
      </c>
      <c r="C332">
        <f>TEXT(DATEVALUE(B332),"yyyy-mm")</f>
        <v/>
      </c>
      <c r="D332" t="inlineStr">
        <is>
          <t>West</t>
        </is>
      </c>
      <c r="E332" t="inlineStr">
        <is>
          <t>Hardware</t>
        </is>
      </c>
      <c r="F332" t="n">
        <v>5</v>
      </c>
      <c r="G332" t="n">
        <v>799</v>
      </c>
      <c r="H332">
        <f>F332*G332</f>
        <v/>
      </c>
      <c r="I332" t="inlineStr">
        <is>
          <t>Direct</t>
        </is>
      </c>
    </row>
    <row r="333">
      <c r="A333" t="inlineStr">
        <is>
          <t>SO-10331</t>
        </is>
      </c>
      <c r="B333" t="inlineStr">
        <is>
          <t>2026-02-01</t>
        </is>
      </c>
      <c r="C333">
        <f>TEXT(DATEVALUE(B333),"yyyy-mm")</f>
        <v/>
      </c>
      <c r="D333" t="inlineStr">
        <is>
          <t>East</t>
        </is>
      </c>
      <c r="E333" t="inlineStr">
        <is>
          <t>Training</t>
        </is>
      </c>
      <c r="F333" t="n">
        <v>6</v>
      </c>
      <c r="G333" t="n">
        <v>799</v>
      </c>
      <c r="H333">
        <f>F333*G333</f>
        <v/>
      </c>
      <c r="I333" t="inlineStr">
        <is>
          <t>Web</t>
        </is>
      </c>
    </row>
    <row r="334">
      <c r="A334" t="inlineStr">
        <is>
          <t>SO-10332</t>
        </is>
      </c>
      <c r="B334" t="inlineStr">
        <is>
          <t>2026-07-15</t>
        </is>
      </c>
      <c r="C334">
        <f>TEXT(DATEVALUE(B334),"yyyy-mm")</f>
        <v/>
      </c>
      <c r="D334" t="inlineStr">
        <is>
          <t>East</t>
        </is>
      </c>
      <c r="E334" t="inlineStr">
        <is>
          <t>Services</t>
        </is>
      </c>
      <c r="F334" t="n">
        <v>5</v>
      </c>
      <c r="G334" t="n">
        <v>49</v>
      </c>
      <c r="H334">
        <f>F334*G334</f>
        <v/>
      </c>
      <c r="I334" t="inlineStr">
        <is>
          <t>Web</t>
        </is>
      </c>
    </row>
    <row r="335">
      <c r="A335" t="inlineStr">
        <is>
          <t>SO-10333</t>
        </is>
      </c>
      <c r="B335" t="inlineStr">
        <is>
          <t>2026-02-12</t>
        </is>
      </c>
      <c r="C335">
        <f>TEXT(DATEVALUE(B335),"yyyy-mm")</f>
        <v/>
      </c>
      <c r="D335" t="inlineStr">
        <is>
          <t>North</t>
        </is>
      </c>
      <c r="E335" t="inlineStr">
        <is>
          <t>Hardware</t>
        </is>
      </c>
      <c r="F335" t="n">
        <v>14</v>
      </c>
      <c r="G335" t="n">
        <v>799</v>
      </c>
      <c r="H335">
        <f>F335*G335</f>
        <v/>
      </c>
      <c r="I335" t="inlineStr">
        <is>
          <t>Partner</t>
        </is>
      </c>
    </row>
    <row r="336">
      <c r="A336" t="inlineStr">
        <is>
          <t>SO-10334</t>
        </is>
      </c>
      <c r="B336" t="inlineStr">
        <is>
          <t>2026-09-19</t>
        </is>
      </c>
      <c r="C336">
        <f>TEXT(DATEVALUE(B336),"yyyy-mm")</f>
        <v/>
      </c>
      <c r="D336" t="inlineStr">
        <is>
          <t>South</t>
        </is>
      </c>
      <c r="E336" t="inlineStr">
        <is>
          <t>Software</t>
        </is>
      </c>
      <c r="F336" t="n">
        <v>4</v>
      </c>
      <c r="G336" t="n">
        <v>49</v>
      </c>
      <c r="H336">
        <f>F336*G336</f>
        <v/>
      </c>
      <c r="I336" t="inlineStr">
        <is>
          <t>Direct</t>
        </is>
      </c>
    </row>
    <row r="337">
      <c r="A337" t="inlineStr">
        <is>
          <t>SO-10335</t>
        </is>
      </c>
      <c r="B337" t="inlineStr">
        <is>
          <t>2026-02-17</t>
        </is>
      </c>
      <c r="C337">
        <f>TEXT(DATEVALUE(B337),"yyyy-mm")</f>
        <v/>
      </c>
      <c r="D337" t="inlineStr">
        <is>
          <t>East</t>
        </is>
      </c>
      <c r="E337" t="inlineStr">
        <is>
          <t>Services</t>
        </is>
      </c>
      <c r="F337" t="n">
        <v>17</v>
      </c>
      <c r="G337" t="n">
        <v>199</v>
      </c>
      <c r="H337">
        <f>F337*G337</f>
        <v/>
      </c>
      <c r="I337" t="inlineStr">
        <is>
          <t>Web</t>
        </is>
      </c>
    </row>
    <row r="338">
      <c r="A338" t="inlineStr">
        <is>
          <t>SO-10336</t>
        </is>
      </c>
      <c r="B338" t="inlineStr">
        <is>
          <t>2026-04-19</t>
        </is>
      </c>
      <c r="C338">
        <f>TEXT(DATEVALUE(B338),"yyyy-mm")</f>
        <v/>
      </c>
      <c r="D338" t="inlineStr">
        <is>
          <t>North</t>
        </is>
      </c>
      <c r="E338" t="inlineStr">
        <is>
          <t>Software</t>
        </is>
      </c>
      <c r="F338" t="n">
        <v>14</v>
      </c>
      <c r="G338" t="n">
        <v>349</v>
      </c>
      <c r="H338">
        <f>F338*G338</f>
        <v/>
      </c>
      <c r="I338" t="inlineStr">
        <is>
          <t>Direct</t>
        </is>
      </c>
    </row>
    <row r="339">
      <c r="A339" t="inlineStr">
        <is>
          <t>SO-10337</t>
        </is>
      </c>
      <c r="B339" t="inlineStr">
        <is>
          <t>2026-08-06</t>
        </is>
      </c>
      <c r="C339">
        <f>TEXT(DATEVALUE(B339),"yyyy-mm")</f>
        <v/>
      </c>
      <c r="D339" t="inlineStr">
        <is>
          <t>West</t>
        </is>
      </c>
      <c r="E339" t="inlineStr">
        <is>
          <t>Software</t>
        </is>
      </c>
      <c r="F339" t="n">
        <v>18</v>
      </c>
      <c r="G339" t="n">
        <v>49</v>
      </c>
      <c r="H339">
        <f>F339*G339</f>
        <v/>
      </c>
      <c r="I339" t="inlineStr">
        <is>
          <t>Web</t>
        </is>
      </c>
    </row>
    <row r="340">
      <c r="A340" t="inlineStr">
        <is>
          <t>SO-10338</t>
        </is>
      </c>
      <c r="B340" t="inlineStr">
        <is>
          <t>2026-09-05</t>
        </is>
      </c>
      <c r="C340">
        <f>TEXT(DATEVALUE(B340),"yyyy-mm")</f>
        <v/>
      </c>
      <c r="D340" t="inlineStr">
        <is>
          <t>South</t>
        </is>
      </c>
      <c r="E340" t="inlineStr">
        <is>
          <t>Training</t>
        </is>
      </c>
      <c r="F340" t="n">
        <v>5</v>
      </c>
      <c r="G340" t="n">
        <v>799</v>
      </c>
      <c r="H340">
        <f>F340*G340</f>
        <v/>
      </c>
      <c r="I340" t="inlineStr">
        <is>
          <t>Direct</t>
        </is>
      </c>
    </row>
    <row r="341">
      <c r="A341" t="inlineStr">
        <is>
          <t>SO-10339</t>
        </is>
      </c>
      <c r="B341" t="inlineStr">
        <is>
          <t>2026-02-14</t>
        </is>
      </c>
      <c r="C341">
        <f>TEXT(DATEVALUE(B341),"yyyy-mm")</f>
        <v/>
      </c>
      <c r="D341" t="inlineStr">
        <is>
          <t>South</t>
        </is>
      </c>
      <c r="E341" t="inlineStr">
        <is>
          <t>Hardware</t>
        </is>
      </c>
      <c r="F341" t="n">
        <v>1</v>
      </c>
      <c r="G341" t="n">
        <v>99</v>
      </c>
      <c r="H341">
        <f>F341*G341</f>
        <v/>
      </c>
      <c r="I341" t="inlineStr">
        <is>
          <t>Direct</t>
        </is>
      </c>
    </row>
    <row r="342">
      <c r="A342" t="inlineStr">
        <is>
          <t>SO-10340</t>
        </is>
      </c>
      <c r="B342" t="inlineStr">
        <is>
          <t>2026-07-06</t>
        </is>
      </c>
      <c r="C342">
        <f>TEXT(DATEVALUE(B342),"yyyy-mm")</f>
        <v/>
      </c>
      <c r="D342" t="inlineStr">
        <is>
          <t>North</t>
        </is>
      </c>
      <c r="E342" t="inlineStr">
        <is>
          <t>Training</t>
        </is>
      </c>
      <c r="F342" t="n">
        <v>10</v>
      </c>
      <c r="G342" t="n">
        <v>799</v>
      </c>
      <c r="H342">
        <f>F342*G342</f>
        <v/>
      </c>
      <c r="I342" t="inlineStr">
        <is>
          <t>Web</t>
        </is>
      </c>
    </row>
    <row r="343">
      <c r="A343" t="inlineStr">
        <is>
          <t>SO-10341</t>
        </is>
      </c>
      <c r="B343" t="inlineStr">
        <is>
          <t>2026-08-10</t>
        </is>
      </c>
      <c r="C343">
        <f>TEXT(DATEVALUE(B343),"yyyy-mm")</f>
        <v/>
      </c>
      <c r="D343" t="inlineStr">
        <is>
          <t>West</t>
        </is>
      </c>
      <c r="E343" t="inlineStr">
        <is>
          <t>Training</t>
        </is>
      </c>
      <c r="F343" t="n">
        <v>18</v>
      </c>
      <c r="G343" t="n">
        <v>49</v>
      </c>
      <c r="H343">
        <f>F343*G343</f>
        <v/>
      </c>
      <c r="I343" t="inlineStr">
        <is>
          <t>Partner</t>
        </is>
      </c>
    </row>
    <row r="344">
      <c r="A344" t="inlineStr">
        <is>
          <t>SO-10342</t>
        </is>
      </c>
      <c r="B344" t="inlineStr">
        <is>
          <t>2026-02-07</t>
        </is>
      </c>
      <c r="C344">
        <f>TEXT(DATEVALUE(B344),"yyyy-mm")</f>
        <v/>
      </c>
      <c r="D344" t="inlineStr">
        <is>
          <t>North</t>
        </is>
      </c>
      <c r="E344" t="inlineStr">
        <is>
          <t>Training</t>
        </is>
      </c>
      <c r="F344" t="n">
        <v>9</v>
      </c>
      <c r="G344" t="n">
        <v>799</v>
      </c>
      <c r="H344">
        <f>F344*G344</f>
        <v/>
      </c>
      <c r="I344" t="inlineStr">
        <is>
          <t>Partner</t>
        </is>
      </c>
    </row>
    <row r="345">
      <c r="A345" t="inlineStr">
        <is>
          <t>SO-10343</t>
        </is>
      </c>
      <c r="B345" t="inlineStr">
        <is>
          <t>2026-08-07</t>
        </is>
      </c>
      <c r="C345">
        <f>TEXT(DATEVALUE(B345),"yyyy-mm")</f>
        <v/>
      </c>
      <c r="D345" t="inlineStr">
        <is>
          <t>South</t>
        </is>
      </c>
      <c r="E345" t="inlineStr">
        <is>
          <t>Hardware</t>
        </is>
      </c>
      <c r="F345" t="n">
        <v>21</v>
      </c>
      <c r="G345" t="n">
        <v>799</v>
      </c>
      <c r="H345">
        <f>F345*G345</f>
        <v/>
      </c>
      <c r="I345" t="inlineStr">
        <is>
          <t>Partner</t>
        </is>
      </c>
    </row>
    <row r="346">
      <c r="A346" t="inlineStr">
        <is>
          <t>SO-10344</t>
        </is>
      </c>
      <c r="B346" t="inlineStr">
        <is>
          <t>2026-05-09</t>
        </is>
      </c>
      <c r="C346">
        <f>TEXT(DATEVALUE(B346),"yyyy-mm")</f>
        <v/>
      </c>
      <c r="D346" t="inlineStr">
        <is>
          <t>East</t>
        </is>
      </c>
      <c r="E346" t="inlineStr">
        <is>
          <t>Software</t>
        </is>
      </c>
      <c r="F346" t="n">
        <v>24</v>
      </c>
      <c r="G346" t="n">
        <v>799</v>
      </c>
      <c r="H346">
        <f>F346*G346</f>
        <v/>
      </c>
      <c r="I346" t="inlineStr">
        <is>
          <t>Partner</t>
        </is>
      </c>
    </row>
    <row r="347">
      <c r="A347" t="inlineStr">
        <is>
          <t>SO-10345</t>
        </is>
      </c>
      <c r="B347" t="inlineStr">
        <is>
          <t>2026-02-14</t>
        </is>
      </c>
      <c r="C347">
        <f>TEXT(DATEVALUE(B347),"yyyy-mm")</f>
        <v/>
      </c>
      <c r="D347" t="inlineStr">
        <is>
          <t>East</t>
        </is>
      </c>
      <c r="E347" t="inlineStr">
        <is>
          <t>Training</t>
        </is>
      </c>
      <c r="F347" t="n">
        <v>16</v>
      </c>
      <c r="G347" t="n">
        <v>349</v>
      </c>
      <c r="H347">
        <f>F347*G347</f>
        <v/>
      </c>
      <c r="I347" t="inlineStr">
        <is>
          <t>Partner</t>
        </is>
      </c>
    </row>
    <row r="348">
      <c r="A348" t="inlineStr">
        <is>
          <t>SO-10346</t>
        </is>
      </c>
      <c r="B348" t="inlineStr">
        <is>
          <t>2026-08-04</t>
        </is>
      </c>
      <c r="C348">
        <f>TEXT(DATEVALUE(B348),"yyyy-mm")</f>
        <v/>
      </c>
      <c r="D348" t="inlineStr">
        <is>
          <t>North</t>
        </is>
      </c>
      <c r="E348" t="inlineStr">
        <is>
          <t>Software</t>
        </is>
      </c>
      <c r="F348" t="n">
        <v>2</v>
      </c>
      <c r="G348" t="n">
        <v>199</v>
      </c>
      <c r="H348">
        <f>F348*G348</f>
        <v/>
      </c>
      <c r="I348" t="inlineStr">
        <is>
          <t>Direct</t>
        </is>
      </c>
    </row>
    <row r="349">
      <c r="A349" t="inlineStr">
        <is>
          <t>SO-10347</t>
        </is>
      </c>
      <c r="B349" t="inlineStr">
        <is>
          <t>2026-07-18</t>
        </is>
      </c>
      <c r="C349">
        <f>TEXT(DATEVALUE(B349),"yyyy-mm")</f>
        <v/>
      </c>
      <c r="D349" t="inlineStr">
        <is>
          <t>South</t>
        </is>
      </c>
      <c r="E349" t="inlineStr">
        <is>
          <t>Hardware</t>
        </is>
      </c>
      <c r="F349" t="n">
        <v>11</v>
      </c>
      <c r="G349" t="n">
        <v>349</v>
      </c>
      <c r="H349">
        <f>F349*G349</f>
        <v/>
      </c>
      <c r="I349" t="inlineStr">
        <is>
          <t>Direct</t>
        </is>
      </c>
    </row>
    <row r="350">
      <c r="A350" t="inlineStr">
        <is>
          <t>SO-10348</t>
        </is>
      </c>
      <c r="B350" t="inlineStr">
        <is>
          <t>2026-06-02</t>
        </is>
      </c>
      <c r="C350">
        <f>TEXT(DATEVALUE(B350),"yyyy-mm")</f>
        <v/>
      </c>
      <c r="D350" t="inlineStr">
        <is>
          <t>West</t>
        </is>
      </c>
      <c r="E350" t="inlineStr">
        <is>
          <t>Software</t>
        </is>
      </c>
      <c r="F350" t="n">
        <v>11</v>
      </c>
      <c r="G350" t="n">
        <v>199</v>
      </c>
      <c r="H350">
        <f>F350*G350</f>
        <v/>
      </c>
      <c r="I350" t="inlineStr">
        <is>
          <t>Direct</t>
        </is>
      </c>
    </row>
    <row r="351">
      <c r="A351" t="inlineStr">
        <is>
          <t>SO-10349</t>
        </is>
      </c>
      <c r="B351" t="inlineStr">
        <is>
          <t>2026-09-16</t>
        </is>
      </c>
      <c r="C351">
        <f>TEXT(DATEVALUE(B351),"yyyy-mm")</f>
        <v/>
      </c>
      <c r="D351" t="inlineStr">
        <is>
          <t>East</t>
        </is>
      </c>
      <c r="E351" t="inlineStr">
        <is>
          <t>Training</t>
        </is>
      </c>
      <c r="F351" t="n">
        <v>24</v>
      </c>
      <c r="G351" t="n">
        <v>49</v>
      </c>
      <c r="H351">
        <f>F351*G351</f>
        <v/>
      </c>
      <c r="I351" t="inlineStr">
        <is>
          <t>Direct</t>
        </is>
      </c>
    </row>
    <row r="352">
      <c r="A352" t="inlineStr">
        <is>
          <t>SO-10350</t>
        </is>
      </c>
      <c r="B352" t="inlineStr">
        <is>
          <t>2026-02-01</t>
        </is>
      </c>
      <c r="C352">
        <f>TEXT(DATEVALUE(B352),"yyyy-mm")</f>
        <v/>
      </c>
      <c r="D352" t="inlineStr">
        <is>
          <t>East</t>
        </is>
      </c>
      <c r="E352" t="inlineStr">
        <is>
          <t>Software</t>
        </is>
      </c>
      <c r="F352" t="n">
        <v>23</v>
      </c>
      <c r="G352" t="n">
        <v>799</v>
      </c>
      <c r="H352">
        <f>F352*G352</f>
        <v/>
      </c>
      <c r="I352" t="inlineStr">
        <is>
          <t>Partner</t>
        </is>
      </c>
    </row>
    <row r="353">
      <c r="A353" t="inlineStr">
        <is>
          <t>SO-10351</t>
        </is>
      </c>
      <c r="B353" t="inlineStr">
        <is>
          <t>2026-06-27</t>
        </is>
      </c>
      <c r="C353">
        <f>TEXT(DATEVALUE(B353),"yyyy-mm")</f>
        <v/>
      </c>
      <c r="D353" t="inlineStr">
        <is>
          <t>North</t>
        </is>
      </c>
      <c r="E353" t="inlineStr">
        <is>
          <t>Services</t>
        </is>
      </c>
      <c r="F353" t="n">
        <v>10</v>
      </c>
      <c r="G353" t="n">
        <v>99</v>
      </c>
      <c r="H353">
        <f>F353*G353</f>
        <v/>
      </c>
      <c r="I353" t="inlineStr">
        <is>
          <t>Web</t>
        </is>
      </c>
    </row>
    <row r="354">
      <c r="A354" t="inlineStr">
        <is>
          <t>SO-10352</t>
        </is>
      </c>
      <c r="B354" t="inlineStr">
        <is>
          <t>2026-08-04</t>
        </is>
      </c>
      <c r="C354">
        <f>TEXT(DATEVALUE(B354),"yyyy-mm")</f>
        <v/>
      </c>
      <c r="D354" t="inlineStr">
        <is>
          <t>North</t>
        </is>
      </c>
      <c r="E354" t="inlineStr">
        <is>
          <t>Hardware</t>
        </is>
      </c>
      <c r="F354" t="n">
        <v>17</v>
      </c>
      <c r="G354" t="n">
        <v>199</v>
      </c>
      <c r="H354">
        <f>F354*G354</f>
        <v/>
      </c>
      <c r="I354" t="inlineStr">
        <is>
          <t>Web</t>
        </is>
      </c>
    </row>
    <row r="355">
      <c r="A355" t="inlineStr">
        <is>
          <t>SO-10353</t>
        </is>
      </c>
      <c r="B355" t="inlineStr">
        <is>
          <t>2026-05-19</t>
        </is>
      </c>
      <c r="C355">
        <f>TEXT(DATEVALUE(B355),"yyyy-mm")</f>
        <v/>
      </c>
      <c r="D355" t="inlineStr">
        <is>
          <t>East</t>
        </is>
      </c>
      <c r="E355" t="inlineStr">
        <is>
          <t>Training</t>
        </is>
      </c>
      <c r="F355" t="n">
        <v>9</v>
      </c>
      <c r="G355" t="n">
        <v>349</v>
      </c>
      <c r="H355">
        <f>F355*G355</f>
        <v/>
      </c>
      <c r="I355" t="inlineStr">
        <is>
          <t>Web</t>
        </is>
      </c>
    </row>
    <row r="356">
      <c r="A356" t="inlineStr">
        <is>
          <t>SO-10354</t>
        </is>
      </c>
      <c r="B356" t="inlineStr">
        <is>
          <t>2026-05-19</t>
        </is>
      </c>
      <c r="C356">
        <f>TEXT(DATEVALUE(B356),"yyyy-mm")</f>
        <v/>
      </c>
      <c r="D356" t="inlineStr">
        <is>
          <t>North</t>
        </is>
      </c>
      <c r="E356" t="inlineStr">
        <is>
          <t>Training</t>
        </is>
      </c>
      <c r="F356" t="n">
        <v>22</v>
      </c>
      <c r="G356" t="n">
        <v>49</v>
      </c>
      <c r="H356">
        <f>F356*G356</f>
        <v/>
      </c>
      <c r="I356" t="inlineStr">
        <is>
          <t>Web</t>
        </is>
      </c>
    </row>
    <row r="357">
      <c r="A357" t="inlineStr">
        <is>
          <t>SO-10355</t>
        </is>
      </c>
      <c r="B357" t="inlineStr">
        <is>
          <t>2026-05-11</t>
        </is>
      </c>
      <c r="C357">
        <f>TEXT(DATEVALUE(B357),"yyyy-mm")</f>
        <v/>
      </c>
      <c r="D357" t="inlineStr">
        <is>
          <t>South</t>
        </is>
      </c>
      <c r="E357" t="inlineStr">
        <is>
          <t>Software</t>
        </is>
      </c>
      <c r="F357" t="n">
        <v>2</v>
      </c>
      <c r="G357" t="n">
        <v>199</v>
      </c>
      <c r="H357">
        <f>F357*G357</f>
        <v/>
      </c>
      <c r="I357" t="inlineStr">
        <is>
          <t>Partner</t>
        </is>
      </c>
    </row>
    <row r="358">
      <c r="A358" t="inlineStr">
        <is>
          <t>SO-10356</t>
        </is>
      </c>
      <c r="B358" t="inlineStr">
        <is>
          <t>2026-05-02</t>
        </is>
      </c>
      <c r="C358">
        <f>TEXT(DATEVALUE(B358),"yyyy-mm")</f>
        <v/>
      </c>
      <c r="D358" t="inlineStr">
        <is>
          <t>North</t>
        </is>
      </c>
      <c r="E358" t="inlineStr">
        <is>
          <t>Training</t>
        </is>
      </c>
      <c r="F358" t="n">
        <v>25</v>
      </c>
      <c r="G358" t="n">
        <v>349</v>
      </c>
      <c r="H358">
        <f>F358*G358</f>
        <v/>
      </c>
      <c r="I358" t="inlineStr">
        <is>
          <t>Direct</t>
        </is>
      </c>
    </row>
    <row r="359">
      <c r="A359" t="inlineStr">
        <is>
          <t>SO-10357</t>
        </is>
      </c>
      <c r="B359" t="inlineStr">
        <is>
          <t>2026-02-18</t>
        </is>
      </c>
      <c r="C359">
        <f>TEXT(DATEVALUE(B359),"yyyy-mm")</f>
        <v/>
      </c>
      <c r="D359" t="inlineStr">
        <is>
          <t>North</t>
        </is>
      </c>
      <c r="E359" t="inlineStr">
        <is>
          <t>Software</t>
        </is>
      </c>
      <c r="F359" t="n">
        <v>5</v>
      </c>
      <c r="G359" t="n">
        <v>199</v>
      </c>
      <c r="H359">
        <f>F359*G359</f>
        <v/>
      </c>
      <c r="I359" t="inlineStr">
        <is>
          <t>Direct</t>
        </is>
      </c>
    </row>
    <row r="360">
      <c r="A360" t="inlineStr">
        <is>
          <t>SO-10358</t>
        </is>
      </c>
      <c r="B360" t="inlineStr">
        <is>
          <t>2026-09-01</t>
        </is>
      </c>
      <c r="C360">
        <f>TEXT(DATEVALUE(B360),"yyyy-mm")</f>
        <v/>
      </c>
      <c r="D360" t="inlineStr">
        <is>
          <t>West</t>
        </is>
      </c>
      <c r="E360" t="inlineStr">
        <is>
          <t>Services</t>
        </is>
      </c>
      <c r="F360" t="n">
        <v>24</v>
      </c>
      <c r="G360" t="n">
        <v>349</v>
      </c>
      <c r="H360">
        <f>F360*G360</f>
        <v/>
      </c>
      <c r="I360" t="inlineStr">
        <is>
          <t>Direct</t>
        </is>
      </c>
    </row>
    <row r="361">
      <c r="A361" t="inlineStr">
        <is>
          <t>SO-10359</t>
        </is>
      </c>
      <c r="B361" t="inlineStr">
        <is>
          <t>2026-02-06</t>
        </is>
      </c>
      <c r="C361">
        <f>TEXT(DATEVALUE(B361),"yyyy-mm")</f>
        <v/>
      </c>
      <c r="D361" t="inlineStr">
        <is>
          <t>South</t>
        </is>
      </c>
      <c r="E361" t="inlineStr">
        <is>
          <t>Training</t>
        </is>
      </c>
      <c r="F361" t="n">
        <v>3</v>
      </c>
      <c r="G361" t="n">
        <v>349</v>
      </c>
      <c r="H361">
        <f>F361*G361</f>
        <v/>
      </c>
      <c r="I361" t="inlineStr">
        <is>
          <t>Partner</t>
        </is>
      </c>
    </row>
  </sheetData>
  <autoFilter ref="A1:I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2026-09-18T18:38:11Z</dcterms:created>
  <dcterms:modified xmlns:dcterms="http://purl.org/dc/terms/" xmlns:xsi="http://www.w3.org/2001/XMLSchema-instance" xsi:type="dcterms:W3CDTF">2026-09-18T18:38:11Z</dcterms:modified>
</cp:coreProperties>
</file>